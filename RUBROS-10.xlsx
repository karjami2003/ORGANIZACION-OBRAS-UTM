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90ee3d58d7a656/Desktop/ING CIVIL/NOVENO/obras/"/>
    </mc:Choice>
  </mc:AlternateContent>
  <xr:revisionPtr revIDLastSave="0" documentId="8_{92D5FDC7-9090-40BD-81C0-3E2DD05CD9ED}" xr6:coauthVersionLast="47" xr6:coauthVersionMax="47" xr10:uidLastSave="{00000000-0000-0000-0000-000000000000}"/>
  <bookViews>
    <workbookView xWindow="-108" yWindow="-108" windowWidth="23256" windowHeight="12456" activeTab="1" xr2:uid="{04952465-535D-4BFE-BF6A-7D8F6C45EF0C}"/>
  </bookViews>
  <sheets>
    <sheet name="Hoja1" sheetId="1" r:id="rId1"/>
    <sheet name="1." sheetId="2" r:id="rId2"/>
    <sheet name="2" sheetId="3" r:id="rId3"/>
    <sheet name="3" sheetId="4" r:id="rId4"/>
    <sheet name="4" sheetId="5" r:id="rId5"/>
    <sheet name="5" sheetId="6" r:id="rId6"/>
    <sheet name="6" sheetId="8" r:id="rId7"/>
    <sheet name="7" sheetId="7" r:id="rId8"/>
    <sheet name="8" sheetId="11" r:id="rId9"/>
    <sheet name="9" sheetId="10" r:id="rId10"/>
    <sheet name="10" sheetId="9" r:id="rId11"/>
    <sheet name="Hoja2" sheetId="12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2" i="9" l="1"/>
  <c r="F21" i="9"/>
  <c r="G31" i="9"/>
  <c r="G33" i="9"/>
  <c r="G32" i="9"/>
  <c r="G30" i="9"/>
  <c r="F21" i="10"/>
  <c r="G11" i="11"/>
  <c r="G30" i="11"/>
  <c r="F21" i="11"/>
  <c r="F22" i="11"/>
  <c r="E11" i="11"/>
  <c r="A4" i="11"/>
  <c r="F21" i="7"/>
  <c r="G5" i="7"/>
  <c r="A4" i="7"/>
  <c r="F22" i="8"/>
  <c r="F21" i="8"/>
  <c r="G5" i="8"/>
  <c r="A4" i="8"/>
  <c r="F22" i="6"/>
  <c r="F21" i="6"/>
  <c r="G5" i="6"/>
  <c r="A4" i="6"/>
  <c r="F22" i="5"/>
  <c r="F21" i="5"/>
  <c r="G5" i="5"/>
  <c r="A4" i="5"/>
  <c r="F22" i="4"/>
  <c r="F21" i="4"/>
  <c r="G5" i="4"/>
  <c r="F20" i="11"/>
  <c r="E20" i="11"/>
  <c r="G20" i="11"/>
  <c r="E21" i="11"/>
  <c r="G21" i="11"/>
  <c r="E22" i="11"/>
  <c r="G22" i="11"/>
  <c r="G24" i="11"/>
  <c r="G9" i="11"/>
  <c r="F10" i="11"/>
  <c r="E10" i="11"/>
  <c r="G10" i="11"/>
  <c r="G17" i="11"/>
  <c r="G27" i="11"/>
  <c r="G28" i="11"/>
  <c r="G29" i="11"/>
  <c r="G33" i="11"/>
  <c r="G40" i="11"/>
  <c r="G41" i="11"/>
  <c r="G45" i="11"/>
  <c r="G46" i="11"/>
  <c r="F11" i="11"/>
  <c r="F9" i="11"/>
  <c r="F20" i="10"/>
  <c r="E20" i="10"/>
  <c r="G20" i="10"/>
  <c r="E21" i="10"/>
  <c r="G21" i="10"/>
  <c r="F22" i="10"/>
  <c r="E22" i="10"/>
  <c r="G22" i="10"/>
  <c r="G24" i="10"/>
  <c r="G9" i="10"/>
  <c r="F10" i="10"/>
  <c r="E10" i="10"/>
  <c r="G10" i="10"/>
  <c r="G17" i="10"/>
  <c r="G27" i="10"/>
  <c r="G28" i="10"/>
  <c r="G29" i="10"/>
  <c r="G33" i="10"/>
  <c r="G40" i="10"/>
  <c r="G41" i="10"/>
  <c r="G45" i="10"/>
  <c r="G46" i="10"/>
  <c r="F11" i="10"/>
  <c r="F9" i="10"/>
  <c r="F20" i="9"/>
  <c r="E20" i="9"/>
  <c r="G20" i="9"/>
  <c r="E21" i="9"/>
  <c r="G21" i="9"/>
  <c r="E22" i="9"/>
  <c r="G22" i="9"/>
  <c r="G24" i="9"/>
  <c r="G9" i="9"/>
  <c r="F10" i="9"/>
  <c r="E10" i="9"/>
  <c r="G10" i="9"/>
  <c r="G17" i="9"/>
  <c r="G27" i="9"/>
  <c r="G28" i="9"/>
  <c r="G29" i="9"/>
  <c r="G40" i="9"/>
  <c r="G41" i="9"/>
  <c r="G45" i="9"/>
  <c r="G46" i="9"/>
  <c r="F11" i="9"/>
  <c r="F9" i="9"/>
  <c r="A4" i="4"/>
  <c r="G33" i="3"/>
  <c r="F20" i="8"/>
  <c r="E20" i="8"/>
  <c r="G20" i="8"/>
  <c r="E21" i="8"/>
  <c r="G21" i="8"/>
  <c r="E22" i="8"/>
  <c r="G22" i="8"/>
  <c r="G24" i="8"/>
  <c r="G9" i="8"/>
  <c r="F10" i="8"/>
  <c r="E10" i="8"/>
  <c r="G10" i="8"/>
  <c r="G17" i="8"/>
  <c r="G27" i="8"/>
  <c r="G28" i="8"/>
  <c r="G29" i="8"/>
  <c r="G33" i="8"/>
  <c r="G40" i="8"/>
  <c r="G41" i="8"/>
  <c r="G45" i="8"/>
  <c r="G46" i="8"/>
  <c r="F11" i="8"/>
  <c r="F9" i="8"/>
  <c r="F20" i="7"/>
  <c r="E20" i="7"/>
  <c r="G20" i="7"/>
  <c r="E21" i="7"/>
  <c r="G21" i="7"/>
  <c r="F22" i="7"/>
  <c r="E22" i="7"/>
  <c r="G22" i="7"/>
  <c r="G24" i="7"/>
  <c r="G9" i="7"/>
  <c r="F10" i="7"/>
  <c r="E10" i="7"/>
  <c r="G10" i="7"/>
  <c r="G17" i="7"/>
  <c r="G27" i="7"/>
  <c r="G28" i="7"/>
  <c r="G29" i="7"/>
  <c r="G33" i="7"/>
  <c r="G40" i="7"/>
  <c r="G41" i="7"/>
  <c r="G45" i="7"/>
  <c r="G46" i="7"/>
  <c r="F11" i="7"/>
  <c r="F9" i="7"/>
  <c r="F20" i="6"/>
  <c r="E20" i="6"/>
  <c r="G20" i="6"/>
  <c r="E21" i="6"/>
  <c r="G21" i="6"/>
  <c r="E22" i="6"/>
  <c r="G22" i="6"/>
  <c r="G24" i="6"/>
  <c r="G9" i="6"/>
  <c r="F10" i="6"/>
  <c r="E10" i="6"/>
  <c r="G10" i="6"/>
  <c r="G17" i="6"/>
  <c r="G27" i="6"/>
  <c r="G28" i="6"/>
  <c r="G29" i="6"/>
  <c r="G33" i="6"/>
  <c r="G40" i="6"/>
  <c r="G41" i="6"/>
  <c r="G45" i="6"/>
  <c r="G46" i="6"/>
  <c r="F11" i="6"/>
  <c r="F9" i="6"/>
  <c r="F22" i="3"/>
  <c r="F21" i="3"/>
  <c r="G5" i="3"/>
  <c r="A4" i="3"/>
  <c r="A4" i="2"/>
  <c r="F20" i="5"/>
  <c r="E20" i="5"/>
  <c r="G20" i="5"/>
  <c r="E21" i="5"/>
  <c r="G21" i="5"/>
  <c r="E22" i="5"/>
  <c r="G22" i="5"/>
  <c r="G24" i="5"/>
  <c r="G9" i="5"/>
  <c r="F10" i="5"/>
  <c r="E10" i="5"/>
  <c r="G10" i="5"/>
  <c r="G17" i="5"/>
  <c r="G27" i="5"/>
  <c r="G28" i="5"/>
  <c r="G29" i="5"/>
  <c r="G33" i="5"/>
  <c r="G40" i="5"/>
  <c r="G41" i="5"/>
  <c r="G45" i="5"/>
  <c r="G46" i="5"/>
  <c r="F11" i="5"/>
  <c r="F9" i="5"/>
  <c r="F20" i="4"/>
  <c r="E20" i="4"/>
  <c r="G20" i="4"/>
  <c r="E21" i="4"/>
  <c r="G21" i="4"/>
  <c r="E22" i="4"/>
  <c r="G22" i="4"/>
  <c r="G24" i="4"/>
  <c r="G9" i="4"/>
  <c r="F10" i="4"/>
  <c r="E10" i="4"/>
  <c r="G10" i="4"/>
  <c r="G17" i="4"/>
  <c r="G27" i="4"/>
  <c r="G28" i="4"/>
  <c r="G29" i="4"/>
  <c r="G33" i="4"/>
  <c r="G40" i="4"/>
  <c r="G41" i="4"/>
  <c r="G45" i="4"/>
  <c r="G46" i="4"/>
  <c r="F11" i="4"/>
  <c r="F9" i="4"/>
  <c r="F20" i="3"/>
  <c r="E20" i="3"/>
  <c r="G20" i="3"/>
  <c r="E21" i="3"/>
  <c r="G21" i="3"/>
  <c r="E22" i="3"/>
  <c r="G22" i="3"/>
  <c r="G24" i="3"/>
  <c r="G9" i="3"/>
  <c r="F10" i="3"/>
  <c r="E10" i="3"/>
  <c r="G10" i="3"/>
  <c r="G17" i="3"/>
  <c r="G27" i="3"/>
  <c r="G28" i="3"/>
  <c r="G29" i="3"/>
  <c r="G40" i="3"/>
  <c r="G41" i="3"/>
  <c r="G45" i="3"/>
  <c r="G46" i="3"/>
  <c r="F11" i="3"/>
  <c r="F9" i="3"/>
  <c r="E20" i="2"/>
  <c r="F20" i="2"/>
  <c r="G20" i="2"/>
  <c r="G24" i="2"/>
  <c r="G9" i="2"/>
  <c r="F10" i="2"/>
  <c r="G10" i="2"/>
  <c r="G17" i="2"/>
  <c r="G40" i="2"/>
  <c r="G41" i="2"/>
  <c r="G45" i="2"/>
  <c r="G46" i="2"/>
  <c r="G33" i="2"/>
  <c r="G28" i="2"/>
  <c r="G29" i="2"/>
  <c r="G27" i="2"/>
  <c r="G21" i="2"/>
  <c r="G22" i="2"/>
  <c r="F21" i="2"/>
  <c r="F22" i="2"/>
  <c r="E21" i="2"/>
  <c r="E22" i="2"/>
  <c r="F11" i="2"/>
  <c r="E10" i="2"/>
  <c r="F9" i="2"/>
  <c r="F5" i="1"/>
  <c r="F6" i="1"/>
  <c r="F7" i="1"/>
  <c r="F8" i="1"/>
  <c r="F9" i="1"/>
  <c r="F10" i="1"/>
  <c r="F11" i="1"/>
  <c r="F12" i="1"/>
  <c r="F13" i="1"/>
  <c r="F4" i="1"/>
  <c r="D13" i="1"/>
  <c r="D12" i="1"/>
  <c r="D11" i="1"/>
  <c r="D10" i="1"/>
  <c r="D9" i="1"/>
  <c r="D8" i="1"/>
  <c r="D7" i="1"/>
  <c r="D4" i="1"/>
  <c r="D6" i="1"/>
  <c r="D5" i="1"/>
</calcChain>
</file>

<file path=xl/sharedStrings.xml><?xml version="1.0" encoding="utf-8"?>
<sst xmlns="http://schemas.openxmlformats.org/spreadsheetml/2006/main" count="571" uniqueCount="103">
  <si>
    <t>NUMERO / ITEM</t>
  </si>
  <si>
    <t>Limpieza y debroce de muro</t>
  </si>
  <si>
    <t>Replanteo y nivelacion con equipo topografico</t>
  </si>
  <si>
    <t>Excavacion a maquina</t>
  </si>
  <si>
    <t>Relleno compactado con material del sitio e=0.20 m</t>
  </si>
  <si>
    <t>Relleno compactado con mejoramineto con subase clase III ( e=0,30 m )</t>
  </si>
  <si>
    <t>Relleno a maquina con piedra bola bajo acera e=15 cm</t>
  </si>
  <si>
    <t>Enconfrado de bordillo</t>
  </si>
  <si>
    <t>Hormigon simple de F'c=210 kg/cm2 en acera e=10cm</t>
  </si>
  <si>
    <t>CONCEPTO RUBRO</t>
  </si>
  <si>
    <t>Bordillo de hormigon simple (15 cm x 50 cm )F'c=210 kg/cm2</t>
  </si>
  <si>
    <t xml:space="preserve">UNIDAD </t>
  </si>
  <si>
    <t>CANTIDAD</t>
  </si>
  <si>
    <t>P.UNITARIO</t>
  </si>
  <si>
    <t>P.TOTAL</t>
  </si>
  <si>
    <t>m2</t>
  </si>
  <si>
    <t>m3</t>
  </si>
  <si>
    <t>ml</t>
  </si>
  <si>
    <t>TOTAL</t>
  </si>
  <si>
    <t>CONSTRUCCION DE ACERAS Y BORDILLOS</t>
  </si>
  <si>
    <t xml:space="preserve">Son: </t>
  </si>
  <si>
    <t>Datos</t>
  </si>
  <si>
    <t>H( escavacion)</t>
  </si>
  <si>
    <t>e sitio</t>
  </si>
  <si>
    <t>e subase</t>
  </si>
  <si>
    <t>m</t>
  </si>
  <si>
    <t>L = 1750 m</t>
  </si>
  <si>
    <t>e piedra bola</t>
  </si>
  <si>
    <t>Malla electrosoldada de (150x150*5) mm</t>
  </si>
  <si>
    <t>ancho acera 1.5</t>
  </si>
  <si>
    <t>RUBRO:</t>
  </si>
  <si>
    <t>EQUIPOS</t>
  </si>
  <si>
    <t>DESCRIPCION</t>
  </si>
  <si>
    <t>Herramientas manuales ( 5% M.O )</t>
  </si>
  <si>
    <t>TARIFA/HORA</t>
  </si>
  <si>
    <t>COSTO/HORA</t>
  </si>
  <si>
    <t>RENDIMIENTO</t>
  </si>
  <si>
    <t>COSTO</t>
  </si>
  <si>
    <t>RENDIMIENTO H/U</t>
  </si>
  <si>
    <t>UNIDAD:</t>
  </si>
  <si>
    <t>CB-001</t>
  </si>
  <si>
    <t>HOJA 2 DE 10</t>
  </si>
  <si>
    <t>MANOS DE OBRA</t>
  </si>
  <si>
    <t>MATERIALES</t>
  </si>
  <si>
    <t>ANALISIS DE PRECIOS UNITARIOS</t>
  </si>
  <si>
    <t>SUBTOTAL (M)</t>
  </si>
  <si>
    <t>SUBTOTAL (N)</t>
  </si>
  <si>
    <t>TRANSPORTE</t>
  </si>
  <si>
    <t>UNIDAD</t>
  </si>
  <si>
    <t>TARIFA</t>
  </si>
  <si>
    <t>DETALLE:</t>
  </si>
  <si>
    <t>SUBTOTAL (O)</t>
  </si>
  <si>
    <t>SUBTOTAL (P)</t>
  </si>
  <si>
    <t xml:space="preserve">Estos precios no incluyen IVA </t>
  </si>
  <si>
    <t>TOTAL COSTOS DIRECTOS (M+N+O+P)</t>
  </si>
  <si>
    <t>INDIRECTOS Y UTILIDAD</t>
  </si>
  <si>
    <t>OTROS INDIRECTOS</t>
  </si>
  <si>
    <t>COSTO TOTAL DEL RUBRO</t>
  </si>
  <si>
    <t>VALOR OFERTADO</t>
  </si>
  <si>
    <t>KARLA JAMILETH MOREIRA</t>
  </si>
  <si>
    <t>OFERENTE</t>
  </si>
  <si>
    <t>5% DE MANO DE OBRA</t>
  </si>
  <si>
    <t>JORNAL/HORA</t>
  </si>
  <si>
    <t>peon</t>
  </si>
  <si>
    <t>Peon</t>
  </si>
  <si>
    <t>HOJA 1 DE 10</t>
  </si>
  <si>
    <t>Teodolito</t>
  </si>
  <si>
    <t>Topografo</t>
  </si>
  <si>
    <t>Cadenero</t>
  </si>
  <si>
    <t>Estacas</t>
  </si>
  <si>
    <t>Clavos</t>
  </si>
  <si>
    <t>Pinturas</t>
  </si>
  <si>
    <t>unidad</t>
  </si>
  <si>
    <t>kg</t>
  </si>
  <si>
    <t>lt</t>
  </si>
  <si>
    <t>Retroexcavadora</t>
  </si>
  <si>
    <t>Operador de retroexcavadora</t>
  </si>
  <si>
    <t>Engrasador o abastecedor responsable</t>
  </si>
  <si>
    <t>vibroplsnador manual</t>
  </si>
  <si>
    <t xml:space="preserve">operador de equipo liviano </t>
  </si>
  <si>
    <t xml:space="preserve">mejoramiento </t>
  </si>
  <si>
    <t>agua</t>
  </si>
  <si>
    <t xml:space="preserve">vibroplanador manual </t>
  </si>
  <si>
    <t xml:space="preserve">operador de equipos liviano </t>
  </si>
  <si>
    <t>subase clase 3</t>
  </si>
  <si>
    <t>Retroexcavadora 125 hp</t>
  </si>
  <si>
    <t>operador de retoexcavadora</t>
  </si>
  <si>
    <t xml:space="preserve">maestro mayor </t>
  </si>
  <si>
    <t>piedra bola de 10 cm</t>
  </si>
  <si>
    <t>albañil</t>
  </si>
  <si>
    <t>encofrado metalico segun diseño</t>
  </si>
  <si>
    <t>concretera de 1 saco</t>
  </si>
  <si>
    <t>vibrador</t>
  </si>
  <si>
    <t xml:space="preserve">albañil </t>
  </si>
  <si>
    <t>maestro mayor</t>
  </si>
  <si>
    <t xml:space="preserve"> cemento </t>
  </si>
  <si>
    <t>arena</t>
  </si>
  <si>
    <t>grava</t>
  </si>
  <si>
    <t>amoladora manual</t>
  </si>
  <si>
    <t>malla electrosoldada 15x15x5 mm</t>
  </si>
  <si>
    <t>cemento</t>
  </si>
  <si>
    <t>tiras</t>
  </si>
  <si>
    <t>aditivos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</si>
</sst>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4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0" fillId="0" borderId="1" xfId="0" applyNumberForma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6" xfId="0" applyBorder="1" applyAlignment="1">
      <alignment horizontal="right"/>
    </xf>
    <xf numFmtId="0" fontId="0" fillId="0" borderId="8" xfId="0" applyBorder="1" applyAlignment="1">
      <alignment horizontal="right"/>
    </xf>
    <xf numFmtId="0" fontId="2" fillId="0" borderId="1" xfId="0" applyFont="1" applyBorder="1"/>
    <xf numFmtId="0" fontId="2" fillId="0" borderId="11" xfId="0" applyFont="1" applyBorder="1"/>
    <xf numFmtId="0" fontId="1" fillId="0" borderId="1" xfId="0" applyFont="1" applyBorder="1" applyAlignment="1">
      <alignment horizontal="center"/>
    </xf>
    <xf numFmtId="9" fontId="0" fillId="0" borderId="0" xfId="0" applyNumberFormat="1"/>
    <xf numFmtId="0" fontId="0" fillId="0" borderId="15" xfId="0" applyBorder="1"/>
    <xf numFmtId="0" fontId="0" fillId="0" borderId="16" xfId="0" applyBorder="1"/>
    <xf numFmtId="0" fontId="1" fillId="0" borderId="20" xfId="0" applyFont="1" applyBorder="1" applyAlignment="1">
      <alignment horizontal="center" vertical="center"/>
    </xf>
    <xf numFmtId="164" fontId="0" fillId="0" borderId="20" xfId="0" applyNumberFormat="1" applyBorder="1"/>
    <xf numFmtId="0" fontId="0" fillId="0" borderId="20" xfId="0" applyBorder="1"/>
    <xf numFmtId="0" fontId="2" fillId="0" borderId="15" xfId="0" applyFont="1" applyBorder="1"/>
    <xf numFmtId="0" fontId="1" fillId="0" borderId="20" xfId="0" applyFont="1" applyBorder="1" applyAlignment="1">
      <alignment horizontal="center"/>
    </xf>
    <xf numFmtId="164" fontId="0" fillId="0" borderId="21" xfId="0" applyNumberFormat="1" applyBorder="1"/>
    <xf numFmtId="0" fontId="0" fillId="0" borderId="21" xfId="0" applyBorder="1"/>
    <xf numFmtId="2" fontId="1" fillId="0" borderId="16" xfId="0" applyNumberFormat="1" applyFont="1" applyBorder="1"/>
    <xf numFmtId="0" fontId="0" fillId="0" borderId="22" xfId="0" applyBorder="1"/>
    <xf numFmtId="0" fontId="0" fillId="0" borderId="23" xfId="0" applyBorder="1"/>
    <xf numFmtId="2" fontId="1" fillId="0" borderId="24" xfId="0" applyNumberFormat="1" applyFont="1" applyBorder="1"/>
    <xf numFmtId="0" fontId="1" fillId="0" borderId="19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F2B53-957F-477F-9CC0-806F6448E79F}">
  <dimension ref="A1:F25"/>
  <sheetViews>
    <sheetView topLeftCell="B7" zoomScale="105" zoomScaleNormal="190" workbookViewId="0">
      <selection activeCell="E4" sqref="E4"/>
    </sheetView>
  </sheetViews>
  <sheetFormatPr baseColWidth="10" defaultColWidth="10.77734375" defaultRowHeight="14.4" x14ac:dyDescent="0.3"/>
  <cols>
    <col min="2" max="2" width="64.6640625" customWidth="1"/>
  </cols>
  <sheetData>
    <row r="1" spans="1:6" x14ac:dyDescent="0.3">
      <c r="A1" s="45" t="s">
        <v>19</v>
      </c>
      <c r="B1" s="45"/>
      <c r="C1" s="45"/>
      <c r="D1" s="45"/>
      <c r="E1" s="45"/>
      <c r="F1" s="45"/>
    </row>
    <row r="2" spans="1:6" x14ac:dyDescent="0.3">
      <c r="A2" s="46"/>
      <c r="B2" s="46"/>
      <c r="C2" s="46"/>
      <c r="D2" s="46"/>
      <c r="E2" s="46"/>
      <c r="F2" s="46"/>
    </row>
    <row r="3" spans="1:6" ht="28.8" x14ac:dyDescent="0.3">
      <c r="A3" s="4" t="s">
        <v>0</v>
      </c>
      <c r="B3" s="3" t="s">
        <v>9</v>
      </c>
      <c r="C3" s="3" t="s">
        <v>11</v>
      </c>
      <c r="D3" s="3" t="s">
        <v>12</v>
      </c>
      <c r="E3" s="3" t="s">
        <v>13</v>
      </c>
      <c r="F3" s="3" t="s">
        <v>14</v>
      </c>
    </row>
    <row r="4" spans="1:6" x14ac:dyDescent="0.3">
      <c r="A4" s="2">
        <v>1</v>
      </c>
      <c r="B4" s="1" t="s">
        <v>1</v>
      </c>
      <c r="C4" s="2" t="s">
        <v>15</v>
      </c>
      <c r="D4" s="5">
        <f>C19*C20</f>
        <v>2625</v>
      </c>
      <c r="E4" s="1"/>
      <c r="F4" s="5">
        <f>ROUND(D4*E4,2)</f>
        <v>0</v>
      </c>
    </row>
    <row r="5" spans="1:6" x14ac:dyDescent="0.3">
      <c r="A5" s="2">
        <v>2</v>
      </c>
      <c r="B5" s="1" t="s">
        <v>2</v>
      </c>
      <c r="C5" s="2" t="s">
        <v>15</v>
      </c>
      <c r="D5" s="5">
        <f>C19*C20</f>
        <v>2625</v>
      </c>
      <c r="E5" s="1"/>
      <c r="F5" s="5">
        <f t="shared" ref="F5:F13" si="0">ROUND(D5*E5,2)</f>
        <v>0</v>
      </c>
    </row>
    <row r="6" spans="1:6" x14ac:dyDescent="0.3">
      <c r="A6" s="2">
        <v>3</v>
      </c>
      <c r="B6" s="1" t="s">
        <v>3</v>
      </c>
      <c r="C6" s="2" t="s">
        <v>16</v>
      </c>
      <c r="D6" s="5">
        <f>(C19*C20*C21)</f>
        <v>1050</v>
      </c>
      <c r="E6" s="1"/>
      <c r="F6" s="5">
        <f t="shared" si="0"/>
        <v>0</v>
      </c>
    </row>
    <row r="7" spans="1:6" x14ac:dyDescent="0.3">
      <c r="A7" s="2">
        <v>4</v>
      </c>
      <c r="B7" s="1" t="s">
        <v>4</v>
      </c>
      <c r="C7" s="2" t="s">
        <v>16</v>
      </c>
      <c r="D7" s="5">
        <f>C19*C20*C22</f>
        <v>525</v>
      </c>
      <c r="E7" s="1"/>
      <c r="F7" s="5">
        <f t="shared" si="0"/>
        <v>0</v>
      </c>
    </row>
    <row r="8" spans="1:6" x14ac:dyDescent="0.3">
      <c r="A8" s="2">
        <v>5</v>
      </c>
      <c r="B8" s="1" t="s">
        <v>5</v>
      </c>
      <c r="C8" s="2" t="s">
        <v>16</v>
      </c>
      <c r="D8" s="5">
        <f>C19*C20*C23</f>
        <v>787.5</v>
      </c>
      <c r="E8" s="1"/>
      <c r="F8" s="5">
        <f t="shared" si="0"/>
        <v>0</v>
      </c>
    </row>
    <row r="9" spans="1:6" x14ac:dyDescent="0.3">
      <c r="A9" s="2">
        <v>6</v>
      </c>
      <c r="B9" s="1" t="s">
        <v>6</v>
      </c>
      <c r="C9" s="2" t="s">
        <v>16</v>
      </c>
      <c r="D9" s="5">
        <f>C19*C20*C24</f>
        <v>393.75</v>
      </c>
      <c r="E9" s="1"/>
      <c r="F9" s="5">
        <f t="shared" si="0"/>
        <v>0</v>
      </c>
    </row>
    <row r="10" spans="1:6" x14ac:dyDescent="0.3">
      <c r="A10" s="2">
        <v>7</v>
      </c>
      <c r="B10" s="1" t="s">
        <v>7</v>
      </c>
      <c r="C10" s="2" t="s">
        <v>17</v>
      </c>
      <c r="D10" s="5">
        <f>C19</f>
        <v>1750</v>
      </c>
      <c r="E10" s="1"/>
      <c r="F10" s="5">
        <f t="shared" si="0"/>
        <v>0</v>
      </c>
    </row>
    <row r="11" spans="1:6" x14ac:dyDescent="0.3">
      <c r="A11" s="2">
        <v>8</v>
      </c>
      <c r="B11" s="1" t="s">
        <v>10</v>
      </c>
      <c r="C11" s="2" t="s">
        <v>17</v>
      </c>
      <c r="D11" s="5">
        <f>C19</f>
        <v>1750</v>
      </c>
      <c r="E11" s="1"/>
      <c r="F11" s="5">
        <f t="shared" si="0"/>
        <v>0</v>
      </c>
    </row>
    <row r="12" spans="1:6" x14ac:dyDescent="0.3">
      <c r="A12" s="2">
        <v>9</v>
      </c>
      <c r="B12" s="1" t="s">
        <v>28</v>
      </c>
      <c r="C12" s="2" t="s">
        <v>15</v>
      </c>
      <c r="D12" s="5">
        <f>C19*C20</f>
        <v>2625</v>
      </c>
      <c r="E12" s="1"/>
      <c r="F12" s="5">
        <f t="shared" si="0"/>
        <v>0</v>
      </c>
    </row>
    <row r="13" spans="1:6" x14ac:dyDescent="0.3">
      <c r="A13" s="2">
        <v>10</v>
      </c>
      <c r="B13" s="1" t="s">
        <v>8</v>
      </c>
      <c r="C13" s="2" t="s">
        <v>15</v>
      </c>
      <c r="D13" s="5">
        <f>C19*C20</f>
        <v>2625</v>
      </c>
      <c r="E13" s="1"/>
      <c r="F13" s="5">
        <f t="shared" si="0"/>
        <v>0</v>
      </c>
    </row>
    <row r="14" spans="1:6" x14ac:dyDescent="0.3">
      <c r="E14" s="3" t="s">
        <v>18</v>
      </c>
      <c r="F14" s="1"/>
    </row>
    <row r="16" spans="1:6" x14ac:dyDescent="0.3">
      <c r="B16" t="s">
        <v>20</v>
      </c>
    </row>
    <row r="17" spans="2:4" ht="15" thickBot="1" x14ac:dyDescent="0.35"/>
    <row r="18" spans="2:4" ht="15" thickTop="1" x14ac:dyDescent="0.3">
      <c r="B18" s="47" t="s">
        <v>21</v>
      </c>
      <c r="C18" s="48"/>
      <c r="D18" s="49"/>
    </row>
    <row r="19" spans="2:4" x14ac:dyDescent="0.3">
      <c r="B19" s="9" t="s">
        <v>26</v>
      </c>
      <c r="C19">
        <v>1750</v>
      </c>
      <c r="D19" s="6" t="s">
        <v>25</v>
      </c>
    </row>
    <row r="20" spans="2:4" x14ac:dyDescent="0.3">
      <c r="B20" s="9" t="s">
        <v>29</v>
      </c>
      <c r="C20">
        <v>1.5</v>
      </c>
      <c r="D20" s="6" t="s">
        <v>25</v>
      </c>
    </row>
    <row r="21" spans="2:4" x14ac:dyDescent="0.3">
      <c r="B21" s="9" t="s">
        <v>22</v>
      </c>
      <c r="C21">
        <v>0.4</v>
      </c>
      <c r="D21" s="6" t="s">
        <v>25</v>
      </c>
    </row>
    <row r="22" spans="2:4" x14ac:dyDescent="0.3">
      <c r="B22" s="9" t="s">
        <v>23</v>
      </c>
      <c r="C22">
        <v>0.2</v>
      </c>
      <c r="D22" s="6" t="s">
        <v>25</v>
      </c>
    </row>
    <row r="23" spans="2:4" x14ac:dyDescent="0.3">
      <c r="B23" s="9" t="s">
        <v>24</v>
      </c>
      <c r="C23">
        <v>0.3</v>
      </c>
      <c r="D23" s="6" t="s">
        <v>25</v>
      </c>
    </row>
    <row r="24" spans="2:4" ht="15" thickBot="1" x14ac:dyDescent="0.35">
      <c r="B24" s="10" t="s">
        <v>27</v>
      </c>
      <c r="C24" s="7">
        <v>0.15</v>
      </c>
      <c r="D24" s="8" t="s">
        <v>25</v>
      </c>
    </row>
    <row r="25" spans="2:4" ht="15" thickTop="1" x14ac:dyDescent="0.3"/>
  </sheetData>
  <mergeCells count="2">
    <mergeCell ref="A1:F2"/>
    <mergeCell ref="B18:D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2412F-DC6C-4BC6-BF7F-4D885E7DC120}">
  <dimension ref="A1:G46"/>
  <sheetViews>
    <sheetView tabSelected="1" topLeftCell="A19" workbookViewId="0">
      <selection activeCell="D45" sqref="D45"/>
    </sheetView>
  </sheetViews>
  <sheetFormatPr baseColWidth="10" defaultColWidth="10.77734375" defaultRowHeight="14.4" x14ac:dyDescent="0.3"/>
  <cols>
    <col min="1" max="1" width="24.21875" customWidth="1"/>
    <col min="4" max="4" width="20" customWidth="1"/>
    <col min="5" max="5" width="18.77734375" customWidth="1"/>
    <col min="6" max="6" width="16.109375" customWidth="1"/>
    <col min="7" max="7" width="17.44140625" customWidth="1"/>
  </cols>
  <sheetData>
    <row r="1" spans="1:7" x14ac:dyDescent="0.3">
      <c r="A1" s="36" t="s">
        <v>44</v>
      </c>
      <c r="B1" s="37"/>
      <c r="C1" s="37"/>
      <c r="D1" s="37"/>
      <c r="E1" s="37"/>
      <c r="F1" s="37"/>
      <c r="G1" s="38"/>
    </row>
    <row r="2" spans="1:7" x14ac:dyDescent="0.3">
      <c r="A2" s="39"/>
      <c r="B2" s="40"/>
      <c r="C2" s="40"/>
      <c r="D2" s="40"/>
      <c r="E2" s="40"/>
      <c r="F2" s="40"/>
      <c r="G2" s="41"/>
    </row>
    <row r="3" spans="1:7" x14ac:dyDescent="0.3">
      <c r="A3" s="15" t="s">
        <v>30</v>
      </c>
      <c r="G3" s="16" t="s">
        <v>65</v>
      </c>
    </row>
    <row r="4" spans="1:7" x14ac:dyDescent="0.3">
      <c r="A4" s="15" t="str">
        <f>Hoja1!B4</f>
        <v>Limpieza y debroce de muro</v>
      </c>
      <c r="G4" s="16" t="s">
        <v>40</v>
      </c>
    </row>
    <row r="5" spans="1:7" x14ac:dyDescent="0.3">
      <c r="A5" s="15" t="s">
        <v>50</v>
      </c>
      <c r="D5" t="s">
        <v>38</v>
      </c>
      <c r="E5">
        <v>0.13</v>
      </c>
      <c r="F5" t="s">
        <v>39</v>
      </c>
      <c r="G5" s="16"/>
    </row>
    <row r="6" spans="1:7" x14ac:dyDescent="0.3">
      <c r="A6" s="15"/>
      <c r="G6" s="16"/>
    </row>
    <row r="7" spans="1:7" x14ac:dyDescent="0.3">
      <c r="A7" s="42" t="s">
        <v>31</v>
      </c>
      <c r="B7" s="43"/>
      <c r="C7" s="43"/>
      <c r="D7" s="43"/>
      <c r="E7" s="43"/>
      <c r="F7" s="43"/>
      <c r="G7" s="44"/>
    </row>
    <row r="8" spans="1:7" x14ac:dyDescent="0.3">
      <c r="A8" s="32" t="s">
        <v>32</v>
      </c>
      <c r="B8" s="33"/>
      <c r="C8" s="3" t="s">
        <v>12</v>
      </c>
      <c r="D8" s="3" t="s">
        <v>34</v>
      </c>
      <c r="E8" s="3" t="s">
        <v>35</v>
      </c>
      <c r="F8" s="3" t="s">
        <v>36</v>
      </c>
      <c r="G8" s="17" t="s">
        <v>37</v>
      </c>
    </row>
    <row r="9" spans="1:7" x14ac:dyDescent="0.3">
      <c r="A9" s="30" t="s">
        <v>33</v>
      </c>
      <c r="B9" s="31"/>
      <c r="C9" s="1">
        <v>1</v>
      </c>
      <c r="D9" s="1" t="s">
        <v>61</v>
      </c>
      <c r="E9" s="1"/>
      <c r="F9" s="5">
        <f>E5</f>
        <v>0.13</v>
      </c>
      <c r="G9" s="18">
        <f>G24*5%</f>
        <v>5.6420000000000005E-2</v>
      </c>
    </row>
    <row r="10" spans="1:7" x14ac:dyDescent="0.3">
      <c r="A10" s="30"/>
      <c r="B10" s="31"/>
      <c r="C10" s="1"/>
      <c r="D10" s="1"/>
      <c r="E10" s="5">
        <f>D10*C10</f>
        <v>0</v>
      </c>
      <c r="F10" s="5">
        <f>E5</f>
        <v>0.13</v>
      </c>
      <c r="G10" s="18">
        <f>F10*E10</f>
        <v>0</v>
      </c>
    </row>
    <row r="11" spans="1:7" x14ac:dyDescent="0.3">
      <c r="A11" s="30"/>
      <c r="B11" s="31"/>
      <c r="C11" s="1"/>
      <c r="D11" s="1"/>
      <c r="E11" s="1"/>
      <c r="F11" s="5">
        <f>E5</f>
        <v>0.13</v>
      </c>
      <c r="G11" s="19"/>
    </row>
    <row r="12" spans="1:7" x14ac:dyDescent="0.3">
      <c r="A12" s="30"/>
      <c r="B12" s="31"/>
      <c r="C12" s="1"/>
      <c r="D12" s="1"/>
      <c r="E12" s="1"/>
      <c r="F12" s="1"/>
      <c r="G12" s="19"/>
    </row>
    <row r="13" spans="1:7" x14ac:dyDescent="0.3">
      <c r="A13" s="30"/>
      <c r="B13" s="31"/>
      <c r="C13" s="1"/>
      <c r="D13" s="1"/>
      <c r="E13" s="1"/>
      <c r="F13" s="1"/>
      <c r="G13" s="19"/>
    </row>
    <row r="14" spans="1:7" x14ac:dyDescent="0.3">
      <c r="A14" s="30"/>
      <c r="B14" s="31"/>
      <c r="C14" s="1"/>
      <c r="D14" s="1"/>
      <c r="E14" s="1"/>
      <c r="F14" s="1"/>
      <c r="G14" s="19"/>
    </row>
    <row r="15" spans="1:7" x14ac:dyDescent="0.3">
      <c r="A15" s="30"/>
      <c r="B15" s="31"/>
      <c r="C15" s="1"/>
      <c r="D15" s="1"/>
      <c r="E15" s="1"/>
      <c r="F15" s="1"/>
      <c r="G15" s="19"/>
    </row>
    <row r="16" spans="1:7" x14ac:dyDescent="0.3">
      <c r="A16" s="30"/>
      <c r="B16" s="31"/>
      <c r="C16" s="1"/>
      <c r="D16" s="1"/>
      <c r="E16" s="1"/>
      <c r="F16" s="1"/>
      <c r="G16" s="19"/>
    </row>
    <row r="17" spans="1:7" x14ac:dyDescent="0.3">
      <c r="A17" s="15"/>
      <c r="F17" s="11" t="s">
        <v>45</v>
      </c>
      <c r="G17" s="18">
        <f>ROUND(SUM(G9:G16),5)</f>
        <v>5.6419999999999998E-2</v>
      </c>
    </row>
    <row r="18" spans="1:7" x14ac:dyDescent="0.3">
      <c r="A18" s="20" t="s">
        <v>42</v>
      </c>
      <c r="G18" s="16"/>
    </row>
    <row r="19" spans="1:7" x14ac:dyDescent="0.3">
      <c r="A19" s="32" t="s">
        <v>32</v>
      </c>
      <c r="B19" s="33"/>
      <c r="C19" s="3" t="s">
        <v>12</v>
      </c>
      <c r="D19" s="3" t="s">
        <v>62</v>
      </c>
      <c r="E19" s="3" t="s">
        <v>35</v>
      </c>
      <c r="F19" s="3" t="s">
        <v>36</v>
      </c>
      <c r="G19" s="17" t="s">
        <v>37</v>
      </c>
    </row>
    <row r="20" spans="1:7" x14ac:dyDescent="0.3">
      <c r="A20" s="30" t="s">
        <v>64</v>
      </c>
      <c r="B20" s="31"/>
      <c r="C20" s="1">
        <v>2</v>
      </c>
      <c r="D20" s="1">
        <v>4.34</v>
      </c>
      <c r="E20" s="5">
        <f>D20*C20</f>
        <v>8.68</v>
      </c>
      <c r="F20" s="5">
        <f>E5</f>
        <v>0.13</v>
      </c>
      <c r="G20" s="18">
        <f>F20*E20</f>
        <v>1.1284000000000001</v>
      </c>
    </row>
    <row r="21" spans="1:7" x14ac:dyDescent="0.3">
      <c r="A21" s="30"/>
      <c r="B21" s="31"/>
      <c r="C21" s="1"/>
      <c r="D21" s="1"/>
      <c r="E21" s="5">
        <f t="shared" ref="E21:E22" si="0">D21*C21</f>
        <v>0</v>
      </c>
      <c r="F21" s="5">
        <f t="shared" ref="F21:F22" si="1">E6</f>
        <v>0</v>
      </c>
      <c r="G21" s="18">
        <f t="shared" ref="G21:G22" si="2">F21*E21</f>
        <v>0</v>
      </c>
    </row>
    <row r="22" spans="1:7" x14ac:dyDescent="0.3">
      <c r="A22" s="30"/>
      <c r="B22" s="31"/>
      <c r="C22" s="1"/>
      <c r="D22" s="1"/>
      <c r="E22" s="5">
        <f t="shared" si="0"/>
        <v>0</v>
      </c>
      <c r="F22" s="5">
        <f t="shared" si="1"/>
        <v>0</v>
      </c>
      <c r="G22" s="18">
        <f t="shared" si="2"/>
        <v>0</v>
      </c>
    </row>
    <row r="23" spans="1:7" x14ac:dyDescent="0.3">
      <c r="A23" s="30"/>
      <c r="B23" s="31"/>
      <c r="C23" s="1"/>
      <c r="D23" s="1"/>
      <c r="E23" s="1"/>
      <c r="F23" s="1"/>
      <c r="G23" s="19"/>
    </row>
    <row r="24" spans="1:7" x14ac:dyDescent="0.3">
      <c r="A24" s="34"/>
      <c r="B24" s="35"/>
      <c r="F24" s="11" t="s">
        <v>46</v>
      </c>
      <c r="G24" s="18">
        <f>ROUND(SUM(G20:G22),5)</f>
        <v>1.1284000000000001</v>
      </c>
    </row>
    <row r="25" spans="1:7" x14ac:dyDescent="0.3">
      <c r="A25" s="20" t="s">
        <v>43</v>
      </c>
      <c r="G25" s="16"/>
    </row>
    <row r="26" spans="1:7" x14ac:dyDescent="0.3">
      <c r="A26" s="28" t="s">
        <v>32</v>
      </c>
      <c r="B26" s="29"/>
      <c r="C26" s="13"/>
      <c r="D26" s="13" t="s">
        <v>48</v>
      </c>
      <c r="E26" s="13" t="s">
        <v>12</v>
      </c>
      <c r="F26" s="13" t="s">
        <v>13</v>
      </c>
      <c r="G26" s="21" t="s">
        <v>37</v>
      </c>
    </row>
    <row r="27" spans="1:7" x14ac:dyDescent="0.3">
      <c r="A27" s="30"/>
      <c r="B27" s="31"/>
      <c r="C27" s="1"/>
      <c r="D27" s="1"/>
      <c r="E27" s="1"/>
      <c r="F27" s="1"/>
      <c r="G27" s="18">
        <f>F27*E27</f>
        <v>0</v>
      </c>
    </row>
    <row r="28" spans="1:7" x14ac:dyDescent="0.3">
      <c r="A28" s="30"/>
      <c r="B28" s="31"/>
      <c r="C28" s="1"/>
      <c r="D28" s="1"/>
      <c r="E28" s="1"/>
      <c r="F28" s="1"/>
      <c r="G28" s="18">
        <f t="shared" ref="G28:G29" si="3">F28*E28</f>
        <v>0</v>
      </c>
    </row>
    <row r="29" spans="1:7" x14ac:dyDescent="0.3">
      <c r="A29" s="30"/>
      <c r="B29" s="31"/>
      <c r="C29" s="1"/>
      <c r="D29" s="1"/>
      <c r="E29" s="1"/>
      <c r="F29" s="1"/>
      <c r="G29" s="18">
        <f t="shared" si="3"/>
        <v>0</v>
      </c>
    </row>
    <row r="30" spans="1:7" x14ac:dyDescent="0.3">
      <c r="A30" s="30"/>
      <c r="B30" s="31"/>
      <c r="C30" s="1"/>
      <c r="D30" s="1"/>
      <c r="E30" s="1"/>
      <c r="F30" s="1"/>
      <c r="G30" s="19"/>
    </row>
    <row r="31" spans="1:7" x14ac:dyDescent="0.3">
      <c r="A31" s="30"/>
      <c r="B31" s="31"/>
      <c r="C31" s="1"/>
      <c r="D31" s="1"/>
      <c r="E31" s="1"/>
      <c r="F31" s="1"/>
      <c r="G31" s="19"/>
    </row>
    <row r="32" spans="1:7" x14ac:dyDescent="0.3">
      <c r="A32" s="30"/>
      <c r="B32" s="31"/>
      <c r="C32" s="1"/>
      <c r="D32" s="1"/>
      <c r="E32" s="1"/>
      <c r="F32" s="1"/>
      <c r="G32" s="19"/>
    </row>
    <row r="33" spans="1:7" x14ac:dyDescent="0.3">
      <c r="A33" s="15"/>
      <c r="F33" s="12" t="s">
        <v>51</v>
      </c>
      <c r="G33" s="22">
        <f>ROUND(SUM(G27:G32),5)</f>
        <v>0</v>
      </c>
    </row>
    <row r="34" spans="1:7" x14ac:dyDescent="0.3">
      <c r="A34" s="20" t="s">
        <v>47</v>
      </c>
      <c r="G34" s="16"/>
    </row>
    <row r="35" spans="1:7" x14ac:dyDescent="0.3">
      <c r="A35" s="28" t="s">
        <v>32</v>
      </c>
      <c r="B35" s="29"/>
      <c r="C35" s="13"/>
      <c r="D35" s="13" t="s">
        <v>48</v>
      </c>
      <c r="E35" s="13" t="s">
        <v>12</v>
      </c>
      <c r="F35" s="13" t="s">
        <v>49</v>
      </c>
      <c r="G35" s="21" t="s">
        <v>37</v>
      </c>
    </row>
    <row r="36" spans="1:7" x14ac:dyDescent="0.3">
      <c r="A36" s="30"/>
      <c r="B36" s="31"/>
      <c r="C36" s="1"/>
      <c r="D36" s="1"/>
      <c r="E36" s="1"/>
      <c r="F36" s="1"/>
      <c r="G36" s="19"/>
    </row>
    <row r="37" spans="1:7" x14ac:dyDescent="0.3">
      <c r="A37" s="30"/>
      <c r="B37" s="31"/>
      <c r="C37" s="1"/>
      <c r="D37" s="1"/>
      <c r="E37" s="1"/>
      <c r="F37" s="1"/>
      <c r="G37" s="19"/>
    </row>
    <row r="38" spans="1:7" x14ac:dyDescent="0.3">
      <c r="A38" s="15"/>
      <c r="F38" s="12" t="s">
        <v>52</v>
      </c>
      <c r="G38" s="23"/>
    </row>
    <row r="39" spans="1:7" x14ac:dyDescent="0.3">
      <c r="A39" s="15" t="s">
        <v>53</v>
      </c>
      <c r="G39" s="16"/>
    </row>
    <row r="40" spans="1:7" x14ac:dyDescent="0.3">
      <c r="A40" s="15"/>
      <c r="D40" t="s">
        <v>54</v>
      </c>
      <c r="G40" s="24">
        <f>ROUND((G17+G24+G33+G38),2)</f>
        <v>1.18</v>
      </c>
    </row>
    <row r="41" spans="1:7" x14ac:dyDescent="0.3">
      <c r="A41" s="15"/>
      <c r="D41" t="s">
        <v>55</v>
      </c>
      <c r="F41" s="14">
        <v>0.25</v>
      </c>
      <c r="G41" s="24">
        <f>ROUND((G40*F41),2)</f>
        <v>0.3</v>
      </c>
    </row>
    <row r="42" spans="1:7" x14ac:dyDescent="0.3">
      <c r="A42" s="15"/>
      <c r="D42" t="s">
        <v>56</v>
      </c>
      <c r="G42" s="16"/>
    </row>
    <row r="43" spans="1:7" x14ac:dyDescent="0.3">
      <c r="A43" s="15"/>
      <c r="G43" s="16"/>
    </row>
    <row r="44" spans="1:7" x14ac:dyDescent="0.3">
      <c r="A44" s="15"/>
      <c r="G44" s="16"/>
    </row>
    <row r="45" spans="1:7" x14ac:dyDescent="0.3">
      <c r="A45" s="15" t="s">
        <v>59</v>
      </c>
      <c r="D45" t="s">
        <v>57</v>
      </c>
      <c r="G45" s="24">
        <f>ROUND((G41+G40),2)</f>
        <v>1.48</v>
      </c>
    </row>
    <row r="46" spans="1:7" ht="15" thickBot="1" x14ac:dyDescent="0.35">
      <c r="A46" s="25" t="s">
        <v>60</v>
      </c>
      <c r="B46" s="26"/>
      <c r="C46" s="26"/>
      <c r="D46" s="26" t="s">
        <v>58</v>
      </c>
      <c r="E46" s="26"/>
      <c r="F46" s="26"/>
      <c r="G46" s="27">
        <f>G45</f>
        <v>1.48</v>
      </c>
    </row>
  </sheetData>
  <mergeCells count="27">
    <mergeCell ref="A36:B36"/>
    <mergeCell ref="A37:B37"/>
    <mergeCell ref="A7:G7"/>
    <mergeCell ref="A24:B24"/>
    <mergeCell ref="A27:B27"/>
    <mergeCell ref="A28:B28"/>
    <mergeCell ref="A29:B29"/>
    <mergeCell ref="A35:B35"/>
    <mergeCell ref="A30:B30"/>
    <mergeCell ref="A31:B31"/>
    <mergeCell ref="A32:B32"/>
    <mergeCell ref="A15:B15"/>
    <mergeCell ref="A16:B16"/>
    <mergeCell ref="A20:B20"/>
    <mergeCell ref="A21:B21"/>
    <mergeCell ref="A22:B22"/>
    <mergeCell ref="A23:B23"/>
    <mergeCell ref="A9:B9"/>
    <mergeCell ref="A8:B8"/>
    <mergeCell ref="A19:B19"/>
    <mergeCell ref="A26:B26"/>
    <mergeCell ref="A14:B14"/>
    <mergeCell ref="A1:G2"/>
    <mergeCell ref="A10:B10"/>
    <mergeCell ref="A12:B12"/>
    <mergeCell ref="A11:B11"/>
    <mergeCell ref="A13:B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DF80B-7D03-EA4D-9852-94DBDFDC716B}">
  <dimension ref="A1:G46"/>
  <sheetViews>
    <sheetView topLeftCell="C13" workbookViewId="0">
      <selection activeCell="G41" sqref="G41"/>
    </sheetView>
  </sheetViews>
  <sheetFormatPr baseColWidth="10" defaultColWidth="10.77734375" defaultRowHeight="14.4" x14ac:dyDescent="0.3"/>
  <cols>
    <col min="1" max="1" width="24.21875" customWidth="1"/>
    <col min="4" max="4" width="20" customWidth="1"/>
    <col min="5" max="5" width="18.77734375" customWidth="1"/>
    <col min="6" max="6" width="16.109375" customWidth="1"/>
    <col min="7" max="7" width="17.44140625" customWidth="1"/>
  </cols>
  <sheetData>
    <row r="1" spans="1:7" x14ac:dyDescent="0.3">
      <c r="A1" s="36" t="s">
        <v>44</v>
      </c>
      <c r="B1" s="37"/>
      <c r="C1" s="37"/>
      <c r="D1" s="37"/>
      <c r="E1" s="37"/>
      <c r="F1" s="37"/>
      <c r="G1" s="38"/>
    </row>
    <row r="2" spans="1:7" x14ac:dyDescent="0.3">
      <c r="A2" s="39"/>
      <c r="B2" s="40"/>
      <c r="C2" s="40"/>
      <c r="D2" s="40"/>
      <c r="E2" s="40"/>
      <c r="F2" s="40"/>
      <c r="G2" s="41"/>
    </row>
    <row r="3" spans="1:7" x14ac:dyDescent="0.3">
      <c r="A3" s="15" t="s">
        <v>30</v>
      </c>
      <c r="G3" s="16" t="s">
        <v>41</v>
      </c>
    </row>
    <row r="4" spans="1:7" x14ac:dyDescent="0.3">
      <c r="A4" s="15" t="str">
        <f>Hoja1!B5</f>
        <v>Replanteo y nivelacion con equipo topografico</v>
      </c>
      <c r="G4" s="16" t="s">
        <v>40</v>
      </c>
    </row>
    <row r="5" spans="1:7" x14ac:dyDescent="0.3">
      <c r="A5" s="15" t="s">
        <v>50</v>
      </c>
      <c r="D5" t="s">
        <v>38</v>
      </c>
      <c r="E5">
        <v>0.1</v>
      </c>
      <c r="F5" t="s">
        <v>39</v>
      </c>
      <c r="G5" s="16" t="str">
        <f>Hoja1!C5</f>
        <v>m2</v>
      </c>
    </row>
    <row r="6" spans="1:7" x14ac:dyDescent="0.3">
      <c r="A6" s="15"/>
      <c r="G6" s="16"/>
    </row>
    <row r="7" spans="1:7" x14ac:dyDescent="0.3">
      <c r="A7" s="42" t="s">
        <v>31</v>
      </c>
      <c r="B7" s="43"/>
      <c r="C7" s="43"/>
      <c r="D7" s="43"/>
      <c r="E7" s="43"/>
      <c r="F7" s="43"/>
      <c r="G7" s="44"/>
    </row>
    <row r="8" spans="1:7" x14ac:dyDescent="0.3">
      <c r="A8" s="32" t="s">
        <v>32</v>
      </c>
      <c r="B8" s="33"/>
      <c r="C8" s="3" t="s">
        <v>12</v>
      </c>
      <c r="D8" s="3" t="s">
        <v>34</v>
      </c>
      <c r="E8" s="3" t="s">
        <v>35</v>
      </c>
      <c r="F8" s="3" t="s">
        <v>36</v>
      </c>
      <c r="G8" s="17" t="s">
        <v>37</v>
      </c>
    </row>
    <row r="9" spans="1:7" x14ac:dyDescent="0.3">
      <c r="A9" s="30" t="s">
        <v>33</v>
      </c>
      <c r="B9" s="31"/>
      <c r="C9" s="1">
        <v>1</v>
      </c>
      <c r="D9" s="1" t="s">
        <v>61</v>
      </c>
      <c r="E9" s="1"/>
      <c r="F9" s="5">
        <f>E5</f>
        <v>0.1</v>
      </c>
      <c r="G9" s="18">
        <f>G24*5%</f>
        <v>6.8000000000000005E-2</v>
      </c>
    </row>
    <row r="10" spans="1:7" x14ac:dyDescent="0.3">
      <c r="A10" s="30" t="s">
        <v>66</v>
      </c>
      <c r="B10" s="31"/>
      <c r="C10" s="1">
        <v>1</v>
      </c>
      <c r="D10" s="1">
        <v>2.5</v>
      </c>
      <c r="E10" s="5">
        <f>D10*C10</f>
        <v>2.5</v>
      </c>
      <c r="F10" s="5">
        <f>E5</f>
        <v>0.1</v>
      </c>
      <c r="G10" s="18">
        <f>F10*E10</f>
        <v>0.25</v>
      </c>
    </row>
    <row r="11" spans="1:7" x14ac:dyDescent="0.3">
      <c r="A11" s="30"/>
      <c r="B11" s="31"/>
      <c r="C11" s="1"/>
      <c r="D11" s="1"/>
      <c r="E11" s="1"/>
      <c r="F11" s="5">
        <f>E5</f>
        <v>0.1</v>
      </c>
      <c r="G11" s="19"/>
    </row>
    <row r="12" spans="1:7" x14ac:dyDescent="0.3">
      <c r="A12" s="30"/>
      <c r="B12" s="31"/>
      <c r="C12" s="1"/>
      <c r="D12" s="1"/>
      <c r="E12" s="1"/>
      <c r="F12" s="1"/>
      <c r="G12" s="19"/>
    </row>
    <row r="13" spans="1:7" x14ac:dyDescent="0.3">
      <c r="A13" s="30"/>
      <c r="B13" s="31"/>
      <c r="C13" s="1"/>
      <c r="D13" s="1"/>
      <c r="E13" s="1"/>
      <c r="F13" s="1"/>
      <c r="G13" s="19"/>
    </row>
    <row r="14" spans="1:7" x14ac:dyDescent="0.3">
      <c r="A14" s="30"/>
      <c r="B14" s="31"/>
      <c r="C14" s="1"/>
      <c r="D14" s="1"/>
      <c r="E14" s="1"/>
      <c r="F14" s="1"/>
      <c r="G14" s="19"/>
    </row>
    <row r="15" spans="1:7" x14ac:dyDescent="0.3">
      <c r="A15" s="30"/>
      <c r="B15" s="31"/>
      <c r="C15" s="1"/>
      <c r="D15" s="1"/>
      <c r="E15" s="1"/>
      <c r="F15" s="1"/>
      <c r="G15" s="19"/>
    </row>
    <row r="16" spans="1:7" x14ac:dyDescent="0.3">
      <c r="A16" s="30"/>
      <c r="B16" s="31"/>
      <c r="C16" s="1"/>
      <c r="D16" s="1"/>
      <c r="E16" s="1"/>
      <c r="F16" s="1"/>
      <c r="G16" s="19"/>
    </row>
    <row r="17" spans="1:7" x14ac:dyDescent="0.3">
      <c r="A17" s="15"/>
      <c r="F17" s="11" t="s">
        <v>45</v>
      </c>
      <c r="G17" s="18">
        <f>ROUND(SUM(G9:G16),5)</f>
        <v>0.318</v>
      </c>
    </row>
    <row r="18" spans="1:7" x14ac:dyDescent="0.3">
      <c r="A18" s="20" t="s">
        <v>42</v>
      </c>
      <c r="G18" s="16"/>
    </row>
    <row r="19" spans="1:7" x14ac:dyDescent="0.3">
      <c r="A19" s="32" t="s">
        <v>32</v>
      </c>
      <c r="B19" s="33"/>
      <c r="C19" s="3" t="s">
        <v>12</v>
      </c>
      <c r="D19" s="3" t="s">
        <v>62</v>
      </c>
      <c r="E19" s="3" t="s">
        <v>35</v>
      </c>
      <c r="F19" s="3" t="s">
        <v>36</v>
      </c>
      <c r="G19" s="17" t="s">
        <v>37</v>
      </c>
    </row>
    <row r="20" spans="1:7" x14ac:dyDescent="0.3">
      <c r="A20" s="30" t="s">
        <v>63</v>
      </c>
      <c r="B20" s="31"/>
      <c r="C20" s="1">
        <v>1</v>
      </c>
      <c r="D20" s="1">
        <v>4.34</v>
      </c>
      <c r="E20" s="5">
        <f>D20*C20</f>
        <v>4.34</v>
      </c>
      <c r="F20" s="5">
        <f>E5</f>
        <v>0.1</v>
      </c>
      <c r="G20" s="18">
        <f>F20*E20</f>
        <v>0.434</v>
      </c>
    </row>
    <row r="21" spans="1:7" x14ac:dyDescent="0.3">
      <c r="A21" s="30" t="s">
        <v>67</v>
      </c>
      <c r="B21" s="31"/>
      <c r="C21" s="1">
        <v>1</v>
      </c>
      <c r="D21" s="1">
        <v>4.87</v>
      </c>
      <c r="E21" s="5">
        <f t="shared" ref="E21:E22" si="0">D21*C21</f>
        <v>4.87</v>
      </c>
      <c r="F21" s="5">
        <f>E5</f>
        <v>0.1</v>
      </c>
      <c r="G21" s="18">
        <f t="shared" ref="G21:G22" si="1">F21*E21</f>
        <v>0.48700000000000004</v>
      </c>
    </row>
    <row r="22" spans="1:7" x14ac:dyDescent="0.3">
      <c r="A22" s="30" t="s">
        <v>68</v>
      </c>
      <c r="B22" s="31"/>
      <c r="C22" s="1">
        <v>1</v>
      </c>
      <c r="D22" s="1">
        <v>4.3899999999999997</v>
      </c>
      <c r="E22" s="5">
        <f t="shared" si="0"/>
        <v>4.3899999999999997</v>
      </c>
      <c r="F22" s="5">
        <f>E5</f>
        <v>0.1</v>
      </c>
      <c r="G22" s="18">
        <f t="shared" si="1"/>
        <v>0.439</v>
      </c>
    </row>
    <row r="23" spans="1:7" x14ac:dyDescent="0.3">
      <c r="A23" s="30"/>
      <c r="B23" s="31"/>
      <c r="C23" s="1"/>
      <c r="D23" s="1"/>
      <c r="E23" s="1"/>
      <c r="F23" s="1"/>
      <c r="G23" s="19"/>
    </row>
    <row r="24" spans="1:7" x14ac:dyDescent="0.3">
      <c r="A24" s="34"/>
      <c r="B24" s="35"/>
      <c r="F24" s="11" t="s">
        <v>46</v>
      </c>
      <c r="G24" s="18">
        <f>ROUND(SUM(G20:G22),5)</f>
        <v>1.36</v>
      </c>
    </row>
    <row r="25" spans="1:7" x14ac:dyDescent="0.3">
      <c r="A25" s="20" t="s">
        <v>43</v>
      </c>
      <c r="G25" s="16"/>
    </row>
    <row r="26" spans="1:7" x14ac:dyDescent="0.3">
      <c r="A26" s="28" t="s">
        <v>32</v>
      </c>
      <c r="B26" s="29"/>
      <c r="C26" s="13"/>
      <c r="D26" s="13" t="s">
        <v>48</v>
      </c>
      <c r="E26" s="13" t="s">
        <v>12</v>
      </c>
      <c r="F26" s="13" t="s">
        <v>13</v>
      </c>
      <c r="G26" s="21" t="s">
        <v>37</v>
      </c>
    </row>
    <row r="27" spans="1:7" x14ac:dyDescent="0.3">
      <c r="A27" s="30" t="s">
        <v>69</v>
      </c>
      <c r="B27" s="31"/>
      <c r="C27" s="1"/>
      <c r="D27" s="1" t="s">
        <v>72</v>
      </c>
      <c r="E27" s="1">
        <v>0.1</v>
      </c>
      <c r="F27" s="1">
        <v>0.2</v>
      </c>
      <c r="G27" s="18">
        <f>F27*E27</f>
        <v>2.0000000000000004E-2</v>
      </c>
    </row>
    <row r="28" spans="1:7" x14ac:dyDescent="0.3">
      <c r="A28" s="30" t="s">
        <v>70</v>
      </c>
      <c r="B28" s="31"/>
      <c r="C28" s="1"/>
      <c r="D28" s="1" t="s">
        <v>73</v>
      </c>
      <c r="E28" s="1">
        <v>0.01</v>
      </c>
      <c r="F28" s="1">
        <v>1.5</v>
      </c>
      <c r="G28" s="18">
        <f t="shared" ref="G28:G29" si="2">F28*E28</f>
        <v>1.4999999999999999E-2</v>
      </c>
    </row>
    <row r="29" spans="1:7" x14ac:dyDescent="0.3">
      <c r="A29" s="30" t="s">
        <v>71</v>
      </c>
      <c r="B29" s="31"/>
      <c r="C29" s="1"/>
      <c r="D29" s="1" t="s">
        <v>74</v>
      </c>
      <c r="E29" s="1">
        <v>0.01</v>
      </c>
      <c r="F29" s="1">
        <v>4.25</v>
      </c>
      <c r="G29" s="18">
        <f t="shared" si="2"/>
        <v>4.2500000000000003E-2</v>
      </c>
    </row>
    <row r="30" spans="1:7" x14ac:dyDescent="0.3">
      <c r="A30" s="30"/>
      <c r="B30" s="31"/>
      <c r="C30" s="1"/>
      <c r="D30" s="1"/>
      <c r="E30" s="1"/>
      <c r="F30" s="1"/>
      <c r="G30" s="19"/>
    </row>
    <row r="31" spans="1:7" x14ac:dyDescent="0.3">
      <c r="A31" s="30"/>
      <c r="B31" s="31"/>
      <c r="C31" s="1"/>
      <c r="D31" s="1"/>
      <c r="E31" s="1"/>
      <c r="F31" s="1"/>
      <c r="G31" s="19"/>
    </row>
    <row r="32" spans="1:7" x14ac:dyDescent="0.3">
      <c r="A32" s="30"/>
      <c r="B32" s="31"/>
      <c r="C32" s="1"/>
      <c r="D32" s="1"/>
      <c r="E32" s="1"/>
      <c r="F32" s="1"/>
      <c r="G32" s="19"/>
    </row>
    <row r="33" spans="1:7" x14ac:dyDescent="0.3">
      <c r="A33" s="15"/>
      <c r="F33" s="12" t="s">
        <v>51</v>
      </c>
      <c r="G33" s="22">
        <f>ROUND(SUM(G27:G32),5)</f>
        <v>7.7499999999999999E-2</v>
      </c>
    </row>
    <row r="34" spans="1:7" x14ac:dyDescent="0.3">
      <c r="A34" s="20" t="s">
        <v>47</v>
      </c>
      <c r="G34" s="16"/>
    </row>
    <row r="35" spans="1:7" x14ac:dyDescent="0.3">
      <c r="A35" s="28" t="s">
        <v>32</v>
      </c>
      <c r="B35" s="29"/>
      <c r="C35" s="13"/>
      <c r="D35" s="13" t="s">
        <v>48</v>
      </c>
      <c r="E35" s="13" t="s">
        <v>12</v>
      </c>
      <c r="F35" s="13" t="s">
        <v>49</v>
      </c>
      <c r="G35" s="21" t="s">
        <v>37</v>
      </c>
    </row>
    <row r="36" spans="1:7" x14ac:dyDescent="0.3">
      <c r="A36" s="30"/>
      <c r="B36" s="31"/>
      <c r="C36" s="1"/>
      <c r="D36" s="1"/>
      <c r="E36" s="1"/>
      <c r="F36" s="1"/>
      <c r="G36" s="19"/>
    </row>
    <row r="37" spans="1:7" x14ac:dyDescent="0.3">
      <c r="A37" s="30"/>
      <c r="B37" s="31"/>
      <c r="C37" s="1"/>
      <c r="D37" s="1"/>
      <c r="E37" s="1"/>
      <c r="F37" s="1"/>
      <c r="G37" s="19"/>
    </row>
    <row r="38" spans="1:7" x14ac:dyDescent="0.3">
      <c r="A38" s="15"/>
      <c r="F38" s="12" t="s">
        <v>52</v>
      </c>
      <c r="G38" s="23"/>
    </row>
    <row r="39" spans="1:7" x14ac:dyDescent="0.3">
      <c r="A39" s="15" t="s">
        <v>53</v>
      </c>
      <c r="G39" s="16"/>
    </row>
    <row r="40" spans="1:7" x14ac:dyDescent="0.3">
      <c r="A40" s="15"/>
      <c r="D40" t="s">
        <v>54</v>
      </c>
      <c r="G40" s="24">
        <f>ROUND((G17+G24+G33+G38),2)</f>
        <v>1.76</v>
      </c>
    </row>
    <row r="41" spans="1:7" x14ac:dyDescent="0.3">
      <c r="A41" s="15"/>
      <c r="D41" t="s">
        <v>55</v>
      </c>
      <c r="F41" s="14">
        <v>0.25</v>
      </c>
      <c r="G41" s="24">
        <f>ROUND((G40*F41),2)</f>
        <v>0.44</v>
      </c>
    </row>
    <row r="42" spans="1:7" x14ac:dyDescent="0.3">
      <c r="A42" s="15"/>
      <c r="D42" t="s">
        <v>56</v>
      </c>
      <c r="G42" s="16"/>
    </row>
    <row r="43" spans="1:7" x14ac:dyDescent="0.3">
      <c r="A43" s="15"/>
      <c r="G43" s="16"/>
    </row>
    <row r="44" spans="1:7" x14ac:dyDescent="0.3">
      <c r="A44" s="15"/>
      <c r="G44" s="16"/>
    </row>
    <row r="45" spans="1:7" x14ac:dyDescent="0.3">
      <c r="A45" s="15" t="s">
        <v>59</v>
      </c>
      <c r="D45" t="s">
        <v>57</v>
      </c>
      <c r="G45" s="24">
        <f>ROUND((G41+G40),2)</f>
        <v>2.2000000000000002</v>
      </c>
    </row>
    <row r="46" spans="1:7" ht="15" thickBot="1" x14ac:dyDescent="0.35">
      <c r="A46" s="25" t="s">
        <v>60</v>
      </c>
      <c r="B46" s="26"/>
      <c r="C46" s="26"/>
      <c r="D46" s="26" t="s">
        <v>58</v>
      </c>
      <c r="E46" s="26"/>
      <c r="F46" s="26"/>
      <c r="G46" s="27">
        <f>G45</f>
        <v>2.2000000000000002</v>
      </c>
    </row>
  </sheetData>
  <mergeCells count="27">
    <mergeCell ref="A11:B11"/>
    <mergeCell ref="A1:G2"/>
    <mergeCell ref="A7:G7"/>
    <mergeCell ref="A8:B8"/>
    <mergeCell ref="A9:B9"/>
    <mergeCell ref="A10:B10"/>
    <mergeCell ref="A26:B26"/>
    <mergeCell ref="A12:B12"/>
    <mergeCell ref="A13:B13"/>
    <mergeCell ref="A14:B14"/>
    <mergeCell ref="A15:B15"/>
    <mergeCell ref="A16:B16"/>
    <mergeCell ref="A19:B19"/>
    <mergeCell ref="A20:B20"/>
    <mergeCell ref="A21:B21"/>
    <mergeCell ref="A22:B22"/>
    <mergeCell ref="A23:B23"/>
    <mergeCell ref="A24:B24"/>
    <mergeCell ref="A35:B35"/>
    <mergeCell ref="A36:B36"/>
    <mergeCell ref="A37:B37"/>
    <mergeCell ref="A27:B27"/>
    <mergeCell ref="A28:B28"/>
    <mergeCell ref="A29:B29"/>
    <mergeCell ref="A30:B30"/>
    <mergeCell ref="A31:B31"/>
    <mergeCell ref="A32:B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91B13-A79B-B041-9453-A38D00D4B992}">
  <dimension ref="A1:G46"/>
  <sheetViews>
    <sheetView workbookViewId="0">
      <selection activeCell="F22" sqref="F22"/>
    </sheetView>
  </sheetViews>
  <sheetFormatPr baseColWidth="10" defaultColWidth="10.77734375" defaultRowHeight="14.4" x14ac:dyDescent="0.3"/>
  <cols>
    <col min="1" max="1" width="24.21875" customWidth="1"/>
    <col min="4" max="4" width="20" customWidth="1"/>
    <col min="5" max="5" width="18.77734375" customWidth="1"/>
    <col min="6" max="6" width="16.109375" customWidth="1"/>
    <col min="7" max="7" width="17.44140625" customWidth="1"/>
  </cols>
  <sheetData>
    <row r="1" spans="1:7" x14ac:dyDescent="0.3">
      <c r="A1" s="36" t="s">
        <v>44</v>
      </c>
      <c r="B1" s="37"/>
      <c r="C1" s="37"/>
      <c r="D1" s="37"/>
      <c r="E1" s="37"/>
      <c r="F1" s="37"/>
      <c r="G1" s="38"/>
    </row>
    <row r="2" spans="1:7" x14ac:dyDescent="0.3">
      <c r="A2" s="39"/>
      <c r="B2" s="40"/>
      <c r="C2" s="40"/>
      <c r="D2" s="40"/>
      <c r="E2" s="40"/>
      <c r="F2" s="40"/>
      <c r="G2" s="41"/>
    </row>
    <row r="3" spans="1:7" x14ac:dyDescent="0.3">
      <c r="A3" s="15" t="s">
        <v>30</v>
      </c>
      <c r="G3" s="16" t="s">
        <v>41</v>
      </c>
    </row>
    <row r="4" spans="1:7" x14ac:dyDescent="0.3">
      <c r="A4" s="15" t="str">
        <f>Hoja1!B6</f>
        <v>Excavacion a maquina</v>
      </c>
      <c r="G4" s="16" t="s">
        <v>40</v>
      </c>
    </row>
    <row r="5" spans="1:7" x14ac:dyDescent="0.3">
      <c r="A5" s="15" t="s">
        <v>50</v>
      </c>
      <c r="D5" t="s">
        <v>38</v>
      </c>
      <c r="E5">
        <v>0.1</v>
      </c>
      <c r="F5" t="s">
        <v>39</v>
      </c>
      <c r="G5" s="16" t="str">
        <f>Hoja1!C6</f>
        <v>m3</v>
      </c>
    </row>
    <row r="6" spans="1:7" x14ac:dyDescent="0.3">
      <c r="A6" s="15"/>
      <c r="G6" s="16"/>
    </row>
    <row r="7" spans="1:7" x14ac:dyDescent="0.3">
      <c r="A7" s="42" t="s">
        <v>31</v>
      </c>
      <c r="B7" s="43"/>
      <c r="C7" s="43"/>
      <c r="D7" s="43"/>
      <c r="E7" s="43"/>
      <c r="F7" s="43"/>
      <c r="G7" s="44"/>
    </row>
    <row r="8" spans="1:7" x14ac:dyDescent="0.3">
      <c r="A8" s="32" t="s">
        <v>32</v>
      </c>
      <c r="B8" s="33"/>
      <c r="C8" s="3" t="s">
        <v>12</v>
      </c>
      <c r="D8" s="3" t="s">
        <v>34</v>
      </c>
      <c r="E8" s="3" t="s">
        <v>35</v>
      </c>
      <c r="F8" s="3" t="s">
        <v>36</v>
      </c>
      <c r="G8" s="17" t="s">
        <v>37</v>
      </c>
    </row>
    <row r="9" spans="1:7" x14ac:dyDescent="0.3">
      <c r="A9" s="30" t="s">
        <v>33</v>
      </c>
      <c r="B9" s="31"/>
      <c r="C9" s="1">
        <v>1</v>
      </c>
      <c r="D9" s="1" t="s">
        <v>61</v>
      </c>
      <c r="E9" s="1"/>
      <c r="F9" s="5">
        <f>E5</f>
        <v>0.1</v>
      </c>
      <c r="G9" s="18">
        <f>G24*5%</f>
        <v>6.8000000000000005E-2</v>
      </c>
    </row>
    <row r="10" spans="1:7" x14ac:dyDescent="0.3">
      <c r="A10" s="30" t="s">
        <v>75</v>
      </c>
      <c r="B10" s="31"/>
      <c r="C10" s="1">
        <v>1</v>
      </c>
      <c r="D10" s="1">
        <v>25</v>
      </c>
      <c r="E10" s="5">
        <f>D10*C10</f>
        <v>25</v>
      </c>
      <c r="F10" s="5">
        <f>E5</f>
        <v>0.1</v>
      </c>
      <c r="G10" s="18">
        <f>F10*E10</f>
        <v>2.5</v>
      </c>
    </row>
    <row r="11" spans="1:7" x14ac:dyDescent="0.3">
      <c r="A11" s="30"/>
      <c r="B11" s="31"/>
      <c r="C11" s="1"/>
      <c r="D11" s="1"/>
      <c r="E11" s="1"/>
      <c r="F11" s="5">
        <f>E5</f>
        <v>0.1</v>
      </c>
      <c r="G11" s="19"/>
    </row>
    <row r="12" spans="1:7" x14ac:dyDescent="0.3">
      <c r="A12" s="30"/>
      <c r="B12" s="31"/>
      <c r="C12" s="1"/>
      <c r="D12" s="1"/>
      <c r="E12" s="1"/>
      <c r="F12" s="1"/>
      <c r="G12" s="19"/>
    </row>
    <row r="13" spans="1:7" x14ac:dyDescent="0.3">
      <c r="A13" s="30"/>
      <c r="B13" s="31"/>
      <c r="C13" s="1"/>
      <c r="D13" s="1"/>
      <c r="E13" s="1"/>
      <c r="F13" s="1"/>
      <c r="G13" s="19"/>
    </row>
    <row r="14" spans="1:7" x14ac:dyDescent="0.3">
      <c r="A14" s="30"/>
      <c r="B14" s="31"/>
      <c r="C14" s="1"/>
      <c r="D14" s="1"/>
      <c r="E14" s="1"/>
      <c r="F14" s="1"/>
      <c r="G14" s="19"/>
    </row>
    <row r="15" spans="1:7" x14ac:dyDescent="0.3">
      <c r="A15" s="30"/>
      <c r="B15" s="31"/>
      <c r="C15" s="1"/>
      <c r="D15" s="1"/>
      <c r="E15" s="1"/>
      <c r="F15" s="1"/>
      <c r="G15" s="19"/>
    </row>
    <row r="16" spans="1:7" x14ac:dyDescent="0.3">
      <c r="A16" s="30"/>
      <c r="B16" s="31"/>
      <c r="C16" s="1"/>
      <c r="D16" s="1"/>
      <c r="E16" s="1"/>
      <c r="F16" s="1"/>
      <c r="G16" s="19"/>
    </row>
    <row r="17" spans="1:7" x14ac:dyDescent="0.3">
      <c r="A17" s="15"/>
      <c r="F17" s="11" t="s">
        <v>45</v>
      </c>
      <c r="G17" s="18">
        <f>ROUND(SUM(G9:G16),5)</f>
        <v>2.5680000000000001</v>
      </c>
    </row>
    <row r="18" spans="1:7" x14ac:dyDescent="0.3">
      <c r="A18" s="20" t="s">
        <v>42</v>
      </c>
      <c r="G18" s="16"/>
    </row>
    <row r="19" spans="1:7" x14ac:dyDescent="0.3">
      <c r="A19" s="32" t="s">
        <v>32</v>
      </c>
      <c r="B19" s="33"/>
      <c r="C19" s="3" t="s">
        <v>12</v>
      </c>
      <c r="D19" s="3" t="s">
        <v>62</v>
      </c>
      <c r="E19" s="3" t="s">
        <v>35</v>
      </c>
      <c r="F19" s="3" t="s">
        <v>36</v>
      </c>
      <c r="G19" s="17" t="s">
        <v>37</v>
      </c>
    </row>
    <row r="20" spans="1:7" x14ac:dyDescent="0.3">
      <c r="A20" s="30" t="s">
        <v>76</v>
      </c>
      <c r="B20" s="31"/>
      <c r="C20" s="1">
        <v>1</v>
      </c>
      <c r="D20" s="1">
        <v>4.87</v>
      </c>
      <c r="E20" s="5">
        <f>D20*C20</f>
        <v>4.87</v>
      </c>
      <c r="F20" s="5">
        <f>E5</f>
        <v>0.1</v>
      </c>
      <c r="G20" s="18">
        <f>F20*E20</f>
        <v>0.48700000000000004</v>
      </c>
    </row>
    <row r="21" spans="1:7" x14ac:dyDescent="0.3">
      <c r="A21" s="30" t="s">
        <v>77</v>
      </c>
      <c r="B21" s="31"/>
      <c r="C21" s="1">
        <v>1</v>
      </c>
      <c r="D21" s="1">
        <v>4.3899999999999997</v>
      </c>
      <c r="E21" s="5">
        <f t="shared" ref="E21:E22" si="0">D21*C21</f>
        <v>4.3899999999999997</v>
      </c>
      <c r="F21" s="5">
        <f>E5</f>
        <v>0.1</v>
      </c>
      <c r="G21" s="18">
        <f t="shared" ref="G21:G22" si="1">F21*E21</f>
        <v>0.439</v>
      </c>
    </row>
    <row r="22" spans="1:7" x14ac:dyDescent="0.3">
      <c r="A22" s="30" t="s">
        <v>64</v>
      </c>
      <c r="B22" s="31"/>
      <c r="C22" s="1">
        <v>1</v>
      </c>
      <c r="D22" s="1">
        <v>4.34</v>
      </c>
      <c r="E22" s="5">
        <f t="shared" si="0"/>
        <v>4.34</v>
      </c>
      <c r="F22" s="5">
        <f>E5</f>
        <v>0.1</v>
      </c>
      <c r="G22" s="18">
        <f t="shared" si="1"/>
        <v>0.434</v>
      </c>
    </row>
    <row r="23" spans="1:7" x14ac:dyDescent="0.3">
      <c r="A23" s="30"/>
      <c r="B23" s="31"/>
      <c r="C23" s="1"/>
      <c r="D23" s="1"/>
      <c r="E23" s="1"/>
      <c r="F23" s="1"/>
      <c r="G23" s="19"/>
    </row>
    <row r="24" spans="1:7" x14ac:dyDescent="0.3">
      <c r="A24" s="34"/>
      <c r="B24" s="35"/>
      <c r="F24" s="11" t="s">
        <v>46</v>
      </c>
      <c r="G24" s="18">
        <f>ROUND(SUM(G20:G22),5)</f>
        <v>1.36</v>
      </c>
    </row>
    <row r="25" spans="1:7" x14ac:dyDescent="0.3">
      <c r="A25" s="20" t="s">
        <v>43</v>
      </c>
      <c r="G25" s="16"/>
    </row>
    <row r="26" spans="1:7" x14ac:dyDescent="0.3">
      <c r="A26" s="28" t="s">
        <v>32</v>
      </c>
      <c r="B26" s="29"/>
      <c r="C26" s="13"/>
      <c r="D26" s="13" t="s">
        <v>48</v>
      </c>
      <c r="E26" s="13" t="s">
        <v>12</v>
      </c>
      <c r="F26" s="13" t="s">
        <v>13</v>
      </c>
      <c r="G26" s="21" t="s">
        <v>37</v>
      </c>
    </row>
    <row r="27" spans="1:7" x14ac:dyDescent="0.3">
      <c r="A27" s="30"/>
      <c r="B27" s="31"/>
      <c r="C27" s="1"/>
      <c r="D27" s="1"/>
      <c r="E27" s="1"/>
      <c r="F27" s="1"/>
      <c r="G27" s="18">
        <f>F27*E27</f>
        <v>0</v>
      </c>
    </row>
    <row r="28" spans="1:7" x14ac:dyDescent="0.3">
      <c r="A28" s="30"/>
      <c r="B28" s="31"/>
      <c r="C28" s="1"/>
      <c r="D28" s="1"/>
      <c r="E28" s="1"/>
      <c r="F28" s="1"/>
      <c r="G28" s="18">
        <f t="shared" ref="G28:G29" si="2">F28*E28</f>
        <v>0</v>
      </c>
    </row>
    <row r="29" spans="1:7" x14ac:dyDescent="0.3">
      <c r="A29" s="30"/>
      <c r="B29" s="31"/>
      <c r="C29" s="1"/>
      <c r="D29" s="1"/>
      <c r="E29" s="1"/>
      <c r="F29" s="1"/>
      <c r="G29" s="18">
        <f t="shared" si="2"/>
        <v>0</v>
      </c>
    </row>
    <row r="30" spans="1:7" x14ac:dyDescent="0.3">
      <c r="A30" s="30"/>
      <c r="B30" s="31"/>
      <c r="C30" s="1"/>
      <c r="D30" s="1"/>
      <c r="E30" s="1"/>
      <c r="F30" s="1"/>
      <c r="G30" s="19"/>
    </row>
    <row r="31" spans="1:7" x14ac:dyDescent="0.3">
      <c r="A31" s="30"/>
      <c r="B31" s="31"/>
      <c r="C31" s="1"/>
      <c r="D31" s="1"/>
      <c r="E31" s="1"/>
      <c r="F31" s="1"/>
      <c r="G31" s="19"/>
    </row>
    <row r="32" spans="1:7" x14ac:dyDescent="0.3">
      <c r="A32" s="30"/>
      <c r="B32" s="31"/>
      <c r="C32" s="1"/>
      <c r="D32" s="1"/>
      <c r="E32" s="1"/>
      <c r="F32" s="1"/>
      <c r="G32" s="19"/>
    </row>
    <row r="33" spans="1:7" x14ac:dyDescent="0.3">
      <c r="A33" s="15"/>
      <c r="F33" s="12" t="s">
        <v>51</v>
      </c>
      <c r="G33" s="22">
        <f>ROUND(SUM(G27:G32),5)</f>
        <v>0</v>
      </c>
    </row>
    <row r="34" spans="1:7" x14ac:dyDescent="0.3">
      <c r="A34" s="20" t="s">
        <v>47</v>
      </c>
      <c r="G34" s="16"/>
    </row>
    <row r="35" spans="1:7" x14ac:dyDescent="0.3">
      <c r="A35" s="28" t="s">
        <v>32</v>
      </c>
      <c r="B35" s="29"/>
      <c r="C35" s="13"/>
      <c r="D35" s="13" t="s">
        <v>48</v>
      </c>
      <c r="E35" s="13" t="s">
        <v>12</v>
      </c>
      <c r="F35" s="13" t="s">
        <v>49</v>
      </c>
      <c r="G35" s="21" t="s">
        <v>37</v>
      </c>
    </row>
    <row r="36" spans="1:7" x14ac:dyDescent="0.3">
      <c r="A36" s="30"/>
      <c r="B36" s="31"/>
      <c r="C36" s="1"/>
      <c r="D36" s="1"/>
      <c r="E36" s="1"/>
      <c r="F36" s="1"/>
      <c r="G36" s="19"/>
    </row>
    <row r="37" spans="1:7" x14ac:dyDescent="0.3">
      <c r="A37" s="30"/>
      <c r="B37" s="31"/>
      <c r="C37" s="1"/>
      <c r="D37" s="1"/>
      <c r="E37" s="1"/>
      <c r="F37" s="1"/>
      <c r="G37" s="19"/>
    </row>
    <row r="38" spans="1:7" x14ac:dyDescent="0.3">
      <c r="A38" s="15"/>
      <c r="F38" s="12" t="s">
        <v>52</v>
      </c>
      <c r="G38" s="23"/>
    </row>
    <row r="39" spans="1:7" x14ac:dyDescent="0.3">
      <c r="A39" s="15" t="s">
        <v>53</v>
      </c>
      <c r="G39" s="16"/>
    </row>
    <row r="40" spans="1:7" x14ac:dyDescent="0.3">
      <c r="A40" s="15"/>
      <c r="D40" t="s">
        <v>54</v>
      </c>
      <c r="G40" s="24">
        <f>ROUND((G17+G24+G33+G38),2)</f>
        <v>3.93</v>
      </c>
    </row>
    <row r="41" spans="1:7" x14ac:dyDescent="0.3">
      <c r="A41" s="15"/>
      <c r="D41" t="s">
        <v>55</v>
      </c>
      <c r="F41" s="14">
        <v>0.25</v>
      </c>
      <c r="G41" s="24">
        <f>ROUND((G40*F41),2)</f>
        <v>0.98</v>
      </c>
    </row>
    <row r="42" spans="1:7" x14ac:dyDescent="0.3">
      <c r="A42" s="15"/>
      <c r="D42" t="s">
        <v>56</v>
      </c>
      <c r="G42" s="16"/>
    </row>
    <row r="43" spans="1:7" x14ac:dyDescent="0.3">
      <c r="A43" s="15"/>
      <c r="G43" s="16"/>
    </row>
    <row r="44" spans="1:7" x14ac:dyDescent="0.3">
      <c r="A44" s="15"/>
      <c r="G44" s="16"/>
    </row>
    <row r="45" spans="1:7" x14ac:dyDescent="0.3">
      <c r="A45" s="15" t="s">
        <v>59</v>
      </c>
      <c r="D45" t="s">
        <v>57</v>
      </c>
      <c r="G45" s="24">
        <f>ROUND((G41+G40),2)</f>
        <v>4.91</v>
      </c>
    </row>
    <row r="46" spans="1:7" ht="15" thickBot="1" x14ac:dyDescent="0.35">
      <c r="A46" s="25" t="s">
        <v>60</v>
      </c>
      <c r="B46" s="26"/>
      <c r="C46" s="26"/>
      <c r="D46" s="26" t="s">
        <v>58</v>
      </c>
      <c r="E46" s="26"/>
      <c r="F46" s="26"/>
      <c r="G46" s="27">
        <f>G45</f>
        <v>4.91</v>
      </c>
    </row>
  </sheetData>
  <mergeCells count="27">
    <mergeCell ref="A11:B11"/>
    <mergeCell ref="A1:G2"/>
    <mergeCell ref="A7:G7"/>
    <mergeCell ref="A8:B8"/>
    <mergeCell ref="A9:B9"/>
    <mergeCell ref="A10:B10"/>
    <mergeCell ref="A26:B26"/>
    <mergeCell ref="A12:B12"/>
    <mergeCell ref="A13:B13"/>
    <mergeCell ref="A14:B14"/>
    <mergeCell ref="A15:B15"/>
    <mergeCell ref="A16:B16"/>
    <mergeCell ref="A19:B19"/>
    <mergeCell ref="A20:B20"/>
    <mergeCell ref="A21:B21"/>
    <mergeCell ref="A22:B22"/>
    <mergeCell ref="A23:B23"/>
    <mergeCell ref="A24:B24"/>
    <mergeCell ref="A35:B35"/>
    <mergeCell ref="A36:B36"/>
    <mergeCell ref="A37:B37"/>
    <mergeCell ref="A27:B27"/>
    <mergeCell ref="A28:B28"/>
    <mergeCell ref="A29:B29"/>
    <mergeCell ref="A30:B30"/>
    <mergeCell ref="A31:B31"/>
    <mergeCell ref="A32:B3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B8E0B-2F5A-9846-8AEE-219220A03554}">
  <dimension ref="A1:G46"/>
  <sheetViews>
    <sheetView topLeftCell="A29" workbookViewId="0">
      <selection activeCell="E27" sqref="E27"/>
    </sheetView>
  </sheetViews>
  <sheetFormatPr baseColWidth="10" defaultColWidth="10.77734375" defaultRowHeight="14.4" x14ac:dyDescent="0.3"/>
  <cols>
    <col min="1" max="1" width="24.21875" customWidth="1"/>
    <col min="4" max="4" width="20" customWidth="1"/>
    <col min="5" max="5" width="18.77734375" customWidth="1"/>
    <col min="6" max="6" width="16.109375" customWidth="1"/>
    <col min="7" max="7" width="17.44140625" customWidth="1"/>
  </cols>
  <sheetData>
    <row r="1" spans="1:7" x14ac:dyDescent="0.3">
      <c r="A1" s="36" t="s">
        <v>44</v>
      </c>
      <c r="B1" s="37"/>
      <c r="C1" s="37"/>
      <c r="D1" s="37"/>
      <c r="E1" s="37"/>
      <c r="F1" s="37"/>
      <c r="G1" s="38"/>
    </row>
    <row r="2" spans="1:7" x14ac:dyDescent="0.3">
      <c r="A2" s="39"/>
      <c r="B2" s="40"/>
      <c r="C2" s="40"/>
      <c r="D2" s="40"/>
      <c r="E2" s="40"/>
      <c r="F2" s="40"/>
      <c r="G2" s="41"/>
    </row>
    <row r="3" spans="1:7" x14ac:dyDescent="0.3">
      <c r="A3" s="15" t="s">
        <v>30</v>
      </c>
      <c r="G3" s="16" t="s">
        <v>41</v>
      </c>
    </row>
    <row r="4" spans="1:7" x14ac:dyDescent="0.3">
      <c r="A4" s="15" t="str">
        <f>Hoja1!B7</f>
        <v>Relleno compactado con material del sitio e=0.20 m</v>
      </c>
      <c r="G4" s="16" t="s">
        <v>40</v>
      </c>
    </row>
    <row r="5" spans="1:7" x14ac:dyDescent="0.3">
      <c r="A5" s="15" t="s">
        <v>50</v>
      </c>
      <c r="D5" t="s">
        <v>38</v>
      </c>
      <c r="E5">
        <v>0.25</v>
      </c>
      <c r="F5" t="s">
        <v>39</v>
      </c>
      <c r="G5" s="16" t="str">
        <f>Hoja1!C7</f>
        <v>m3</v>
      </c>
    </row>
    <row r="6" spans="1:7" x14ac:dyDescent="0.3">
      <c r="A6" s="15"/>
      <c r="G6" s="16"/>
    </row>
    <row r="7" spans="1:7" x14ac:dyDescent="0.3">
      <c r="A7" s="42" t="s">
        <v>31</v>
      </c>
      <c r="B7" s="43"/>
      <c r="C7" s="43"/>
      <c r="D7" s="43"/>
      <c r="E7" s="43"/>
      <c r="F7" s="43"/>
      <c r="G7" s="44"/>
    </row>
    <row r="8" spans="1:7" x14ac:dyDescent="0.3">
      <c r="A8" s="32" t="s">
        <v>32</v>
      </c>
      <c r="B8" s="33"/>
      <c r="C8" s="3" t="s">
        <v>12</v>
      </c>
      <c r="D8" s="3" t="s">
        <v>34</v>
      </c>
      <c r="E8" s="3" t="s">
        <v>35</v>
      </c>
      <c r="F8" s="3" t="s">
        <v>36</v>
      </c>
      <c r="G8" s="17" t="s">
        <v>37</v>
      </c>
    </row>
    <row r="9" spans="1:7" x14ac:dyDescent="0.3">
      <c r="A9" s="30" t="s">
        <v>33</v>
      </c>
      <c r="B9" s="31"/>
      <c r="C9" s="1">
        <v>1</v>
      </c>
      <c r="D9" s="1" t="s">
        <v>61</v>
      </c>
      <c r="E9" s="1"/>
      <c r="F9" s="5">
        <f>E5</f>
        <v>0.25</v>
      </c>
      <c r="G9" s="18">
        <f>G24*5%</f>
        <v>0.16337500000000002</v>
      </c>
    </row>
    <row r="10" spans="1:7" x14ac:dyDescent="0.3">
      <c r="A10" s="30" t="s">
        <v>78</v>
      </c>
      <c r="B10" s="31"/>
      <c r="C10" s="1">
        <v>1</v>
      </c>
      <c r="D10" s="1">
        <v>5</v>
      </c>
      <c r="E10" s="5">
        <f>D10*C10</f>
        <v>5</v>
      </c>
      <c r="F10" s="5">
        <f>E5</f>
        <v>0.25</v>
      </c>
      <c r="G10" s="18">
        <f>F10*E10</f>
        <v>1.25</v>
      </c>
    </row>
    <row r="11" spans="1:7" x14ac:dyDescent="0.3">
      <c r="A11" s="30"/>
      <c r="B11" s="31"/>
      <c r="C11" s="1"/>
      <c r="D11" s="1"/>
      <c r="E11" s="1"/>
      <c r="F11" s="5">
        <f>E5</f>
        <v>0.25</v>
      </c>
      <c r="G11" s="19"/>
    </row>
    <row r="12" spans="1:7" x14ac:dyDescent="0.3">
      <c r="A12" s="30"/>
      <c r="B12" s="31"/>
      <c r="C12" s="1"/>
      <c r="D12" s="1"/>
      <c r="E12" s="1"/>
      <c r="F12" s="1"/>
      <c r="G12" s="19"/>
    </row>
    <row r="13" spans="1:7" x14ac:dyDescent="0.3">
      <c r="A13" s="30"/>
      <c r="B13" s="31"/>
      <c r="C13" s="1"/>
      <c r="D13" s="1"/>
      <c r="E13" s="1"/>
      <c r="F13" s="1"/>
      <c r="G13" s="19"/>
    </row>
    <row r="14" spans="1:7" x14ac:dyDescent="0.3">
      <c r="A14" s="30"/>
      <c r="B14" s="31"/>
      <c r="C14" s="1"/>
      <c r="D14" s="1"/>
      <c r="E14" s="1"/>
      <c r="F14" s="1"/>
      <c r="G14" s="19"/>
    </row>
    <row r="15" spans="1:7" x14ac:dyDescent="0.3">
      <c r="A15" s="30"/>
      <c r="B15" s="31"/>
      <c r="C15" s="1"/>
      <c r="D15" s="1"/>
      <c r="E15" s="1"/>
      <c r="F15" s="1"/>
      <c r="G15" s="19"/>
    </row>
    <row r="16" spans="1:7" x14ac:dyDescent="0.3">
      <c r="A16" s="30"/>
      <c r="B16" s="31"/>
      <c r="C16" s="1"/>
      <c r="D16" s="1"/>
      <c r="E16" s="1"/>
      <c r="F16" s="1"/>
      <c r="G16" s="19"/>
    </row>
    <row r="17" spans="1:7" x14ac:dyDescent="0.3">
      <c r="A17" s="15"/>
      <c r="F17" s="11" t="s">
        <v>45</v>
      </c>
      <c r="G17" s="18">
        <f>ROUND(SUM(G9:G16),5)</f>
        <v>1.4133800000000001</v>
      </c>
    </row>
    <row r="18" spans="1:7" x14ac:dyDescent="0.3">
      <c r="A18" s="20" t="s">
        <v>42</v>
      </c>
      <c r="G18" s="16"/>
    </row>
    <row r="19" spans="1:7" x14ac:dyDescent="0.3">
      <c r="A19" s="32" t="s">
        <v>32</v>
      </c>
      <c r="B19" s="33"/>
      <c r="C19" s="3" t="s">
        <v>12</v>
      </c>
      <c r="D19" s="3" t="s">
        <v>62</v>
      </c>
      <c r="E19" s="3" t="s">
        <v>35</v>
      </c>
      <c r="F19" s="3" t="s">
        <v>36</v>
      </c>
      <c r="G19" s="17" t="s">
        <v>37</v>
      </c>
    </row>
    <row r="20" spans="1:7" x14ac:dyDescent="0.3">
      <c r="A20" s="30" t="s">
        <v>79</v>
      </c>
      <c r="B20" s="31"/>
      <c r="C20" s="1">
        <v>1</v>
      </c>
      <c r="D20" s="1">
        <v>4.3899999999999997</v>
      </c>
      <c r="E20" s="5">
        <f>D20*C20</f>
        <v>4.3899999999999997</v>
      </c>
      <c r="F20" s="5">
        <f>E5</f>
        <v>0.25</v>
      </c>
      <c r="G20" s="18">
        <f>F20*E20</f>
        <v>1.0974999999999999</v>
      </c>
    </row>
    <row r="21" spans="1:7" x14ac:dyDescent="0.3">
      <c r="A21" s="30" t="s">
        <v>64</v>
      </c>
      <c r="B21" s="31"/>
      <c r="C21" s="1">
        <v>2</v>
      </c>
      <c r="D21" s="1">
        <v>4.34</v>
      </c>
      <c r="E21" s="5">
        <f t="shared" ref="E21:E22" si="0">D21*C21</f>
        <v>8.68</v>
      </c>
      <c r="F21" s="5">
        <f>E5</f>
        <v>0.25</v>
      </c>
      <c r="G21" s="18">
        <f t="shared" ref="G21:G22" si="1">F21*E21</f>
        <v>2.17</v>
      </c>
    </row>
    <row r="22" spans="1:7" x14ac:dyDescent="0.3">
      <c r="A22" s="30"/>
      <c r="B22" s="31"/>
      <c r="C22" s="1"/>
      <c r="D22" s="1"/>
      <c r="E22" s="5">
        <f t="shared" si="0"/>
        <v>0</v>
      </c>
      <c r="F22" s="5">
        <f>E5</f>
        <v>0.25</v>
      </c>
      <c r="G22" s="18">
        <f t="shared" si="1"/>
        <v>0</v>
      </c>
    </row>
    <row r="23" spans="1:7" x14ac:dyDescent="0.3">
      <c r="A23" s="30"/>
      <c r="B23" s="31"/>
      <c r="C23" s="1"/>
      <c r="D23" s="1"/>
      <c r="E23" s="1"/>
      <c r="F23" s="1"/>
      <c r="G23" s="19"/>
    </row>
    <row r="24" spans="1:7" x14ac:dyDescent="0.3">
      <c r="A24" s="34"/>
      <c r="B24" s="35"/>
      <c r="F24" s="11" t="s">
        <v>46</v>
      </c>
      <c r="G24" s="18">
        <f>ROUND(SUM(G20:G22),5)</f>
        <v>3.2675000000000001</v>
      </c>
    </row>
    <row r="25" spans="1:7" x14ac:dyDescent="0.3">
      <c r="A25" s="20" t="s">
        <v>43</v>
      </c>
      <c r="G25" s="16"/>
    </row>
    <row r="26" spans="1:7" x14ac:dyDescent="0.3">
      <c r="A26" s="28" t="s">
        <v>32</v>
      </c>
      <c r="B26" s="29"/>
      <c r="C26" s="13"/>
      <c r="D26" s="13" t="s">
        <v>48</v>
      </c>
      <c r="E26" s="13" t="s">
        <v>12</v>
      </c>
      <c r="F26" s="13" t="s">
        <v>13</v>
      </c>
      <c r="G26" s="21" t="s">
        <v>37</v>
      </c>
    </row>
    <row r="27" spans="1:7" x14ac:dyDescent="0.3">
      <c r="A27" s="30" t="s">
        <v>80</v>
      </c>
      <c r="B27" s="31"/>
      <c r="C27" s="1"/>
      <c r="D27" s="1" t="s">
        <v>16</v>
      </c>
      <c r="E27" s="1">
        <v>1.2</v>
      </c>
      <c r="F27" s="1">
        <v>5</v>
      </c>
      <c r="G27" s="18">
        <f>F27*E27</f>
        <v>6</v>
      </c>
    </row>
    <row r="28" spans="1:7" x14ac:dyDescent="0.3">
      <c r="A28" s="30" t="s">
        <v>81</v>
      </c>
      <c r="B28" s="31"/>
      <c r="C28" s="1"/>
      <c r="D28" s="1" t="s">
        <v>74</v>
      </c>
      <c r="E28" s="1">
        <v>0.1</v>
      </c>
      <c r="F28" s="1">
        <v>1</v>
      </c>
      <c r="G28" s="18">
        <f t="shared" ref="G28:G29" si="2">F28*E28</f>
        <v>0.1</v>
      </c>
    </row>
    <row r="29" spans="1:7" x14ac:dyDescent="0.3">
      <c r="A29" s="30"/>
      <c r="B29" s="31"/>
      <c r="C29" s="1"/>
      <c r="D29" s="1"/>
      <c r="E29" s="1"/>
      <c r="F29" s="1"/>
      <c r="G29" s="18">
        <f t="shared" si="2"/>
        <v>0</v>
      </c>
    </row>
    <row r="30" spans="1:7" x14ac:dyDescent="0.3">
      <c r="A30" s="30"/>
      <c r="B30" s="31"/>
      <c r="C30" s="1"/>
      <c r="D30" s="1"/>
      <c r="E30" s="1"/>
      <c r="F30" s="1"/>
      <c r="G30" s="19"/>
    </row>
    <row r="31" spans="1:7" x14ac:dyDescent="0.3">
      <c r="A31" s="30"/>
      <c r="B31" s="31"/>
      <c r="C31" s="1"/>
      <c r="D31" s="1"/>
      <c r="E31" s="1"/>
      <c r="F31" s="1"/>
      <c r="G31" s="19"/>
    </row>
    <row r="32" spans="1:7" x14ac:dyDescent="0.3">
      <c r="A32" s="30"/>
      <c r="B32" s="31"/>
      <c r="C32" s="1"/>
      <c r="D32" s="1"/>
      <c r="E32" s="1"/>
      <c r="F32" s="1"/>
      <c r="G32" s="19"/>
    </row>
    <row r="33" spans="1:7" x14ac:dyDescent="0.3">
      <c r="A33" s="15"/>
      <c r="F33" s="12" t="s">
        <v>51</v>
      </c>
      <c r="G33" s="22">
        <f>ROUND(SUM(G27:G32),5)</f>
        <v>6.1</v>
      </c>
    </row>
    <row r="34" spans="1:7" x14ac:dyDescent="0.3">
      <c r="A34" s="20" t="s">
        <v>47</v>
      </c>
      <c r="G34" s="16"/>
    </row>
    <row r="35" spans="1:7" x14ac:dyDescent="0.3">
      <c r="A35" s="28" t="s">
        <v>32</v>
      </c>
      <c r="B35" s="29"/>
      <c r="C35" s="13"/>
      <c r="D35" s="13" t="s">
        <v>48</v>
      </c>
      <c r="E35" s="13" t="s">
        <v>12</v>
      </c>
      <c r="F35" s="13" t="s">
        <v>49</v>
      </c>
      <c r="G35" s="21" t="s">
        <v>37</v>
      </c>
    </row>
    <row r="36" spans="1:7" x14ac:dyDescent="0.3">
      <c r="A36" s="30"/>
      <c r="B36" s="31"/>
      <c r="C36" s="1"/>
      <c r="D36" s="1"/>
      <c r="E36" s="1"/>
      <c r="F36" s="1"/>
      <c r="G36" s="19"/>
    </row>
    <row r="37" spans="1:7" x14ac:dyDescent="0.3">
      <c r="A37" s="30"/>
      <c r="B37" s="31"/>
      <c r="C37" s="1"/>
      <c r="D37" s="1"/>
      <c r="E37" s="1"/>
      <c r="F37" s="1"/>
      <c r="G37" s="19"/>
    </row>
    <row r="38" spans="1:7" x14ac:dyDescent="0.3">
      <c r="A38" s="15"/>
      <c r="F38" s="12" t="s">
        <v>52</v>
      </c>
      <c r="G38" s="23"/>
    </row>
    <row r="39" spans="1:7" x14ac:dyDescent="0.3">
      <c r="A39" s="15" t="s">
        <v>53</v>
      </c>
      <c r="G39" s="16"/>
    </row>
    <row r="40" spans="1:7" x14ac:dyDescent="0.3">
      <c r="A40" s="15"/>
      <c r="D40" t="s">
        <v>54</v>
      </c>
      <c r="G40" s="24">
        <f>ROUND((G17+G24+G33+G38),2)</f>
        <v>10.78</v>
      </c>
    </row>
    <row r="41" spans="1:7" x14ac:dyDescent="0.3">
      <c r="A41" s="15"/>
      <c r="D41" t="s">
        <v>55</v>
      </c>
      <c r="F41" s="14">
        <v>0.25</v>
      </c>
      <c r="G41" s="24">
        <f>ROUND((G40*F41),2)</f>
        <v>2.7</v>
      </c>
    </row>
    <row r="42" spans="1:7" x14ac:dyDescent="0.3">
      <c r="A42" s="15"/>
      <c r="D42" t="s">
        <v>56</v>
      </c>
      <c r="G42" s="16"/>
    </row>
    <row r="43" spans="1:7" x14ac:dyDescent="0.3">
      <c r="A43" s="15"/>
      <c r="G43" s="16"/>
    </row>
    <row r="44" spans="1:7" x14ac:dyDescent="0.3">
      <c r="A44" s="15"/>
      <c r="G44" s="16"/>
    </row>
    <row r="45" spans="1:7" x14ac:dyDescent="0.3">
      <c r="A45" s="15" t="s">
        <v>59</v>
      </c>
      <c r="D45" t="s">
        <v>57</v>
      </c>
      <c r="G45" s="24">
        <f>ROUND((G41+G40),2)</f>
        <v>13.48</v>
      </c>
    </row>
    <row r="46" spans="1:7" ht="15" thickBot="1" x14ac:dyDescent="0.35">
      <c r="A46" s="25" t="s">
        <v>60</v>
      </c>
      <c r="B46" s="26"/>
      <c r="C46" s="26"/>
      <c r="D46" s="26" t="s">
        <v>58</v>
      </c>
      <c r="E46" s="26"/>
      <c r="F46" s="26"/>
      <c r="G46" s="27">
        <f>G45</f>
        <v>13.48</v>
      </c>
    </row>
  </sheetData>
  <mergeCells count="27">
    <mergeCell ref="A11:B11"/>
    <mergeCell ref="A1:G2"/>
    <mergeCell ref="A7:G7"/>
    <mergeCell ref="A8:B8"/>
    <mergeCell ref="A9:B9"/>
    <mergeCell ref="A10:B10"/>
    <mergeCell ref="A26:B26"/>
    <mergeCell ref="A12:B12"/>
    <mergeCell ref="A13:B13"/>
    <mergeCell ref="A14:B14"/>
    <mergeCell ref="A15:B15"/>
    <mergeCell ref="A16:B16"/>
    <mergeCell ref="A19:B19"/>
    <mergeCell ref="A20:B20"/>
    <mergeCell ref="A21:B21"/>
    <mergeCell ref="A22:B22"/>
    <mergeCell ref="A23:B23"/>
    <mergeCell ref="A24:B24"/>
    <mergeCell ref="A35:B35"/>
    <mergeCell ref="A36:B36"/>
    <mergeCell ref="A37:B37"/>
    <mergeCell ref="A27:B27"/>
    <mergeCell ref="A28:B28"/>
    <mergeCell ref="A29:B29"/>
    <mergeCell ref="A30:B30"/>
    <mergeCell ref="A31:B31"/>
    <mergeCell ref="A32:B3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9A432-6954-1E40-BD7F-0177F1B1E817}">
  <dimension ref="A1:G46"/>
  <sheetViews>
    <sheetView topLeftCell="D1" workbookViewId="0">
      <selection activeCell="D28" sqref="D28"/>
    </sheetView>
  </sheetViews>
  <sheetFormatPr baseColWidth="10" defaultColWidth="10.77734375" defaultRowHeight="14.4" x14ac:dyDescent="0.3"/>
  <cols>
    <col min="1" max="1" width="24.21875" customWidth="1"/>
    <col min="4" max="4" width="20" customWidth="1"/>
    <col min="5" max="5" width="18.77734375" customWidth="1"/>
    <col min="6" max="6" width="16.109375" customWidth="1"/>
    <col min="7" max="7" width="17.44140625" customWidth="1"/>
  </cols>
  <sheetData>
    <row r="1" spans="1:7" x14ac:dyDescent="0.3">
      <c r="A1" s="36" t="s">
        <v>44</v>
      </c>
      <c r="B1" s="37"/>
      <c r="C1" s="37"/>
      <c r="D1" s="37"/>
      <c r="E1" s="37"/>
      <c r="F1" s="37"/>
      <c r="G1" s="38"/>
    </row>
    <row r="2" spans="1:7" x14ac:dyDescent="0.3">
      <c r="A2" s="39"/>
      <c r="B2" s="40"/>
      <c r="C2" s="40"/>
      <c r="D2" s="40"/>
      <c r="E2" s="40"/>
      <c r="F2" s="40"/>
      <c r="G2" s="41"/>
    </row>
    <row r="3" spans="1:7" x14ac:dyDescent="0.3">
      <c r="A3" s="15" t="s">
        <v>30</v>
      </c>
      <c r="G3" s="16" t="s">
        <v>41</v>
      </c>
    </row>
    <row r="4" spans="1:7" x14ac:dyDescent="0.3">
      <c r="A4" s="15" t="str">
        <f>Hoja1!B8</f>
        <v>Relleno compactado con mejoramineto con subase clase III ( e=0,30 m )</v>
      </c>
      <c r="G4" s="16" t="s">
        <v>40</v>
      </c>
    </row>
    <row r="5" spans="1:7" x14ac:dyDescent="0.3">
      <c r="A5" s="15" t="s">
        <v>50</v>
      </c>
      <c r="D5" t="s">
        <v>38</v>
      </c>
      <c r="E5">
        <v>0.25</v>
      </c>
      <c r="F5" t="s">
        <v>39</v>
      </c>
      <c r="G5" s="16" t="str">
        <f>Hoja1!C8</f>
        <v>m3</v>
      </c>
    </row>
    <row r="6" spans="1:7" x14ac:dyDescent="0.3">
      <c r="A6" s="15"/>
      <c r="G6" s="16"/>
    </row>
    <row r="7" spans="1:7" x14ac:dyDescent="0.3">
      <c r="A7" s="42" t="s">
        <v>31</v>
      </c>
      <c r="B7" s="43"/>
      <c r="C7" s="43"/>
      <c r="D7" s="43"/>
      <c r="E7" s="43"/>
      <c r="F7" s="43"/>
      <c r="G7" s="44"/>
    </row>
    <row r="8" spans="1:7" x14ac:dyDescent="0.3">
      <c r="A8" s="32" t="s">
        <v>32</v>
      </c>
      <c r="B8" s="33"/>
      <c r="C8" s="3" t="s">
        <v>12</v>
      </c>
      <c r="D8" s="3" t="s">
        <v>34</v>
      </c>
      <c r="E8" s="3" t="s">
        <v>35</v>
      </c>
      <c r="F8" s="3" t="s">
        <v>36</v>
      </c>
      <c r="G8" s="17" t="s">
        <v>37</v>
      </c>
    </row>
    <row r="9" spans="1:7" x14ac:dyDescent="0.3">
      <c r="A9" s="30" t="s">
        <v>33</v>
      </c>
      <c r="B9" s="31"/>
      <c r="C9" s="1">
        <v>1</v>
      </c>
      <c r="D9" s="1" t="s">
        <v>61</v>
      </c>
      <c r="E9" s="1"/>
      <c r="F9" s="5">
        <f>E5</f>
        <v>0.25</v>
      </c>
      <c r="G9" s="18">
        <f>G24*5%</f>
        <v>0.16337500000000002</v>
      </c>
    </row>
    <row r="10" spans="1:7" x14ac:dyDescent="0.3">
      <c r="A10" s="30" t="s">
        <v>82</v>
      </c>
      <c r="B10" s="31"/>
      <c r="C10" s="1">
        <v>1</v>
      </c>
      <c r="D10" s="1">
        <v>5</v>
      </c>
      <c r="E10" s="5">
        <f>D10*C10</f>
        <v>5</v>
      </c>
      <c r="F10" s="5">
        <f>E5</f>
        <v>0.25</v>
      </c>
      <c r="G10" s="18">
        <f>F10*E10</f>
        <v>1.25</v>
      </c>
    </row>
    <row r="11" spans="1:7" x14ac:dyDescent="0.3">
      <c r="A11" s="30"/>
      <c r="B11" s="31"/>
      <c r="C11" s="1"/>
      <c r="D11" s="1"/>
      <c r="E11" s="1"/>
      <c r="F11" s="5">
        <f>E5</f>
        <v>0.25</v>
      </c>
      <c r="G11" s="19"/>
    </row>
    <row r="12" spans="1:7" x14ac:dyDescent="0.3">
      <c r="A12" s="30"/>
      <c r="B12" s="31"/>
      <c r="C12" s="1"/>
      <c r="D12" s="1"/>
      <c r="E12" s="1"/>
      <c r="F12" s="1"/>
      <c r="G12" s="19"/>
    </row>
    <row r="13" spans="1:7" x14ac:dyDescent="0.3">
      <c r="A13" s="30"/>
      <c r="B13" s="31"/>
      <c r="C13" s="1"/>
      <c r="D13" s="1"/>
      <c r="E13" s="1"/>
      <c r="F13" s="1"/>
      <c r="G13" s="19"/>
    </row>
    <row r="14" spans="1:7" x14ac:dyDescent="0.3">
      <c r="A14" s="30"/>
      <c r="B14" s="31"/>
      <c r="C14" s="1"/>
      <c r="D14" s="1"/>
      <c r="E14" s="1"/>
      <c r="F14" s="1"/>
      <c r="G14" s="19"/>
    </row>
    <row r="15" spans="1:7" x14ac:dyDescent="0.3">
      <c r="A15" s="30"/>
      <c r="B15" s="31"/>
      <c r="C15" s="1"/>
      <c r="D15" s="1"/>
      <c r="E15" s="1"/>
      <c r="F15" s="1"/>
      <c r="G15" s="19"/>
    </row>
    <row r="16" spans="1:7" x14ac:dyDescent="0.3">
      <c r="A16" s="30"/>
      <c r="B16" s="31"/>
      <c r="C16" s="1"/>
      <c r="D16" s="1"/>
      <c r="E16" s="1"/>
      <c r="F16" s="1"/>
      <c r="G16" s="19"/>
    </row>
    <row r="17" spans="1:7" x14ac:dyDescent="0.3">
      <c r="A17" s="15"/>
      <c r="F17" s="11" t="s">
        <v>45</v>
      </c>
      <c r="G17" s="18">
        <f>ROUND(SUM(G9:G16),5)</f>
        <v>1.4133800000000001</v>
      </c>
    </row>
    <row r="18" spans="1:7" x14ac:dyDescent="0.3">
      <c r="A18" s="20" t="s">
        <v>42</v>
      </c>
      <c r="G18" s="16"/>
    </row>
    <row r="19" spans="1:7" x14ac:dyDescent="0.3">
      <c r="A19" s="32" t="s">
        <v>32</v>
      </c>
      <c r="B19" s="33"/>
      <c r="C19" s="3" t="s">
        <v>12</v>
      </c>
      <c r="D19" s="3" t="s">
        <v>62</v>
      </c>
      <c r="E19" s="3" t="s">
        <v>35</v>
      </c>
      <c r="F19" s="3" t="s">
        <v>36</v>
      </c>
      <c r="G19" s="17" t="s">
        <v>37</v>
      </c>
    </row>
    <row r="20" spans="1:7" x14ac:dyDescent="0.3">
      <c r="A20" s="30" t="s">
        <v>83</v>
      </c>
      <c r="B20" s="31"/>
      <c r="C20" s="1">
        <v>1</v>
      </c>
      <c r="D20" s="1">
        <v>4.3899999999999997</v>
      </c>
      <c r="E20" s="5">
        <f>D20*C20</f>
        <v>4.3899999999999997</v>
      </c>
      <c r="F20" s="5">
        <f>E5</f>
        <v>0.25</v>
      </c>
      <c r="G20" s="18">
        <f>F20*E20</f>
        <v>1.0974999999999999</v>
      </c>
    </row>
    <row r="21" spans="1:7" x14ac:dyDescent="0.3">
      <c r="A21" s="30" t="s">
        <v>63</v>
      </c>
      <c r="B21" s="31"/>
      <c r="C21" s="1">
        <v>2</v>
      </c>
      <c r="D21" s="1">
        <v>4.34</v>
      </c>
      <c r="E21" s="5">
        <f t="shared" ref="E21:E22" si="0">D21*C21</f>
        <v>8.68</v>
      </c>
      <c r="F21" s="5">
        <f>E5</f>
        <v>0.25</v>
      </c>
      <c r="G21" s="18">
        <f t="shared" ref="G21:G22" si="1">F21*E21</f>
        <v>2.17</v>
      </c>
    </row>
    <row r="22" spans="1:7" x14ac:dyDescent="0.3">
      <c r="A22" s="30"/>
      <c r="B22" s="31"/>
      <c r="C22" s="1"/>
      <c r="D22" s="1"/>
      <c r="E22" s="5">
        <f t="shared" si="0"/>
        <v>0</v>
      </c>
      <c r="F22" s="5">
        <f>E5</f>
        <v>0.25</v>
      </c>
      <c r="G22" s="18">
        <f t="shared" si="1"/>
        <v>0</v>
      </c>
    </row>
    <row r="23" spans="1:7" x14ac:dyDescent="0.3">
      <c r="A23" s="30"/>
      <c r="B23" s="31"/>
      <c r="C23" s="1"/>
      <c r="D23" s="1"/>
      <c r="E23" s="1"/>
      <c r="F23" s="1"/>
      <c r="G23" s="19"/>
    </row>
    <row r="24" spans="1:7" x14ac:dyDescent="0.3">
      <c r="A24" s="34"/>
      <c r="B24" s="35"/>
      <c r="F24" s="11" t="s">
        <v>46</v>
      </c>
      <c r="G24" s="18">
        <f>ROUND(SUM(G20:G22),5)</f>
        <v>3.2675000000000001</v>
      </c>
    </row>
    <row r="25" spans="1:7" x14ac:dyDescent="0.3">
      <c r="A25" s="20" t="s">
        <v>43</v>
      </c>
      <c r="G25" s="16"/>
    </row>
    <row r="26" spans="1:7" x14ac:dyDescent="0.3">
      <c r="A26" s="28" t="s">
        <v>32</v>
      </c>
      <c r="B26" s="29"/>
      <c r="C26" s="13"/>
      <c r="D26" s="13" t="s">
        <v>48</v>
      </c>
      <c r="E26" s="13" t="s">
        <v>12</v>
      </c>
      <c r="F26" s="13" t="s">
        <v>13</v>
      </c>
      <c r="G26" s="21" t="s">
        <v>37</v>
      </c>
    </row>
    <row r="27" spans="1:7" x14ac:dyDescent="0.3">
      <c r="A27" s="30" t="s">
        <v>81</v>
      </c>
      <c r="B27" s="31"/>
      <c r="C27" s="1"/>
      <c r="D27" s="1" t="s">
        <v>74</v>
      </c>
      <c r="E27" s="1">
        <v>50</v>
      </c>
      <c r="F27" s="1">
        <v>0.01</v>
      </c>
      <c r="G27" s="18">
        <f>F27*E27</f>
        <v>0.5</v>
      </c>
    </row>
    <row r="28" spans="1:7" x14ac:dyDescent="0.3">
      <c r="A28" s="30" t="s">
        <v>84</v>
      </c>
      <c r="B28" s="31"/>
      <c r="C28" s="1"/>
      <c r="D28" s="1" t="s">
        <v>16</v>
      </c>
      <c r="E28" s="1">
        <v>1.2</v>
      </c>
      <c r="F28" s="1">
        <v>7.34</v>
      </c>
      <c r="G28" s="18">
        <f t="shared" ref="G28:G29" si="2">F28*E28</f>
        <v>8.8079999999999998</v>
      </c>
    </row>
    <row r="29" spans="1:7" x14ac:dyDescent="0.3">
      <c r="A29" s="30"/>
      <c r="B29" s="31"/>
      <c r="C29" s="1"/>
      <c r="D29" s="1"/>
      <c r="E29" s="1"/>
      <c r="F29" s="1"/>
      <c r="G29" s="18">
        <f t="shared" si="2"/>
        <v>0</v>
      </c>
    </row>
    <row r="30" spans="1:7" x14ac:dyDescent="0.3">
      <c r="A30" s="30"/>
      <c r="B30" s="31"/>
      <c r="C30" s="1"/>
      <c r="D30" s="1"/>
      <c r="E30" s="1"/>
      <c r="F30" s="1"/>
      <c r="G30" s="19"/>
    </row>
    <row r="31" spans="1:7" x14ac:dyDescent="0.3">
      <c r="A31" s="30"/>
      <c r="B31" s="31"/>
      <c r="C31" s="1"/>
      <c r="D31" s="1"/>
      <c r="E31" s="1"/>
      <c r="F31" s="1"/>
      <c r="G31" s="19"/>
    </row>
    <row r="32" spans="1:7" x14ac:dyDescent="0.3">
      <c r="A32" s="30"/>
      <c r="B32" s="31"/>
      <c r="C32" s="1"/>
      <c r="D32" s="1"/>
      <c r="E32" s="1"/>
      <c r="F32" s="1"/>
      <c r="G32" s="19"/>
    </row>
    <row r="33" spans="1:7" x14ac:dyDescent="0.3">
      <c r="A33" s="15"/>
      <c r="F33" s="12" t="s">
        <v>51</v>
      </c>
      <c r="G33" s="22">
        <f>ROUND(SUM(G27:G32),5)</f>
        <v>9.3079999999999998</v>
      </c>
    </row>
    <row r="34" spans="1:7" x14ac:dyDescent="0.3">
      <c r="A34" s="20" t="s">
        <v>47</v>
      </c>
      <c r="G34" s="16"/>
    </row>
    <row r="35" spans="1:7" x14ac:dyDescent="0.3">
      <c r="A35" s="28" t="s">
        <v>32</v>
      </c>
      <c r="B35" s="29"/>
      <c r="C35" s="13"/>
      <c r="D35" s="13" t="s">
        <v>48</v>
      </c>
      <c r="E35" s="13" t="s">
        <v>12</v>
      </c>
      <c r="F35" s="13" t="s">
        <v>49</v>
      </c>
      <c r="G35" s="21" t="s">
        <v>37</v>
      </c>
    </row>
    <row r="36" spans="1:7" x14ac:dyDescent="0.3">
      <c r="A36" s="30"/>
      <c r="B36" s="31"/>
      <c r="C36" s="1"/>
      <c r="D36" s="1"/>
      <c r="E36" s="1"/>
      <c r="F36" s="1"/>
      <c r="G36" s="19"/>
    </row>
    <row r="37" spans="1:7" x14ac:dyDescent="0.3">
      <c r="A37" s="30"/>
      <c r="B37" s="31"/>
      <c r="C37" s="1"/>
      <c r="D37" s="1"/>
      <c r="E37" s="1"/>
      <c r="F37" s="1"/>
      <c r="G37" s="19"/>
    </row>
    <row r="38" spans="1:7" x14ac:dyDescent="0.3">
      <c r="A38" s="15"/>
      <c r="F38" s="12" t="s">
        <v>52</v>
      </c>
      <c r="G38" s="23"/>
    </row>
    <row r="39" spans="1:7" x14ac:dyDescent="0.3">
      <c r="A39" s="15" t="s">
        <v>53</v>
      </c>
      <c r="G39" s="16"/>
    </row>
    <row r="40" spans="1:7" x14ac:dyDescent="0.3">
      <c r="A40" s="15"/>
      <c r="D40" t="s">
        <v>54</v>
      </c>
      <c r="G40" s="24">
        <f>ROUND((G17+G24+G33+G38),2)</f>
        <v>13.99</v>
      </c>
    </row>
    <row r="41" spans="1:7" x14ac:dyDescent="0.3">
      <c r="A41" s="15"/>
      <c r="D41" t="s">
        <v>55</v>
      </c>
      <c r="F41" s="14">
        <v>0.25</v>
      </c>
      <c r="G41" s="24">
        <f>ROUND((G40*F41),2)</f>
        <v>3.5</v>
      </c>
    </row>
    <row r="42" spans="1:7" x14ac:dyDescent="0.3">
      <c r="A42" s="15"/>
      <c r="D42" t="s">
        <v>56</v>
      </c>
      <c r="G42" s="16"/>
    </row>
    <row r="43" spans="1:7" x14ac:dyDescent="0.3">
      <c r="A43" s="15"/>
      <c r="G43" s="16"/>
    </row>
    <row r="44" spans="1:7" x14ac:dyDescent="0.3">
      <c r="A44" s="15"/>
      <c r="G44" s="16"/>
    </row>
    <row r="45" spans="1:7" x14ac:dyDescent="0.3">
      <c r="A45" s="15" t="s">
        <v>59</v>
      </c>
      <c r="D45" t="s">
        <v>57</v>
      </c>
      <c r="G45" s="24">
        <f>ROUND((G41+G40),2)</f>
        <v>17.489999999999998</v>
      </c>
    </row>
    <row r="46" spans="1:7" ht="15" thickBot="1" x14ac:dyDescent="0.35">
      <c r="A46" s="25" t="s">
        <v>60</v>
      </c>
      <c r="B46" s="26"/>
      <c r="C46" s="26"/>
      <c r="D46" s="26" t="s">
        <v>58</v>
      </c>
      <c r="E46" s="26"/>
      <c r="F46" s="26"/>
      <c r="G46" s="27">
        <f>G45</f>
        <v>17.489999999999998</v>
      </c>
    </row>
  </sheetData>
  <mergeCells count="27">
    <mergeCell ref="A11:B11"/>
    <mergeCell ref="A1:G2"/>
    <mergeCell ref="A7:G7"/>
    <mergeCell ref="A8:B8"/>
    <mergeCell ref="A9:B9"/>
    <mergeCell ref="A10:B10"/>
    <mergeCell ref="A26:B26"/>
    <mergeCell ref="A12:B12"/>
    <mergeCell ref="A13:B13"/>
    <mergeCell ref="A14:B14"/>
    <mergeCell ref="A15:B15"/>
    <mergeCell ref="A16:B16"/>
    <mergeCell ref="A19:B19"/>
    <mergeCell ref="A20:B20"/>
    <mergeCell ref="A21:B21"/>
    <mergeCell ref="A22:B22"/>
    <mergeCell ref="A23:B23"/>
    <mergeCell ref="A24:B24"/>
    <mergeCell ref="A35:B35"/>
    <mergeCell ref="A36:B36"/>
    <mergeCell ref="A37:B37"/>
    <mergeCell ref="A27:B27"/>
    <mergeCell ref="A28:B28"/>
    <mergeCell ref="A29:B29"/>
    <mergeCell ref="A30:B30"/>
    <mergeCell ref="A31:B31"/>
    <mergeCell ref="A32:B3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E9358-935F-7848-A758-9C792913271C}">
  <dimension ref="A1:G46"/>
  <sheetViews>
    <sheetView topLeftCell="A3" workbookViewId="0">
      <selection activeCell="F27" sqref="F27"/>
    </sheetView>
  </sheetViews>
  <sheetFormatPr baseColWidth="10" defaultColWidth="10.77734375" defaultRowHeight="14.4" x14ac:dyDescent="0.3"/>
  <cols>
    <col min="1" max="1" width="24.21875" customWidth="1"/>
    <col min="4" max="4" width="20" customWidth="1"/>
    <col min="5" max="5" width="18.77734375" customWidth="1"/>
    <col min="6" max="6" width="16.109375" customWidth="1"/>
    <col min="7" max="7" width="17.44140625" customWidth="1"/>
  </cols>
  <sheetData>
    <row r="1" spans="1:7" x14ac:dyDescent="0.3">
      <c r="A1" s="36" t="s">
        <v>44</v>
      </c>
      <c r="B1" s="37"/>
      <c r="C1" s="37"/>
      <c r="D1" s="37"/>
      <c r="E1" s="37"/>
      <c r="F1" s="37"/>
      <c r="G1" s="38"/>
    </row>
    <row r="2" spans="1:7" x14ac:dyDescent="0.3">
      <c r="A2" s="39"/>
      <c r="B2" s="40"/>
      <c r="C2" s="40"/>
      <c r="D2" s="40"/>
      <c r="E2" s="40"/>
      <c r="F2" s="40"/>
      <c r="G2" s="41"/>
    </row>
    <row r="3" spans="1:7" x14ac:dyDescent="0.3">
      <c r="A3" s="15" t="s">
        <v>30</v>
      </c>
      <c r="G3" s="16" t="s">
        <v>41</v>
      </c>
    </row>
    <row r="4" spans="1:7" x14ac:dyDescent="0.3">
      <c r="A4" s="15" t="str">
        <f>Hoja1!B9</f>
        <v>Relleno a maquina con piedra bola bajo acera e=15 cm</v>
      </c>
      <c r="G4" s="16" t="s">
        <v>40</v>
      </c>
    </row>
    <row r="5" spans="1:7" x14ac:dyDescent="0.3">
      <c r="A5" s="15" t="s">
        <v>50</v>
      </c>
      <c r="D5" t="s">
        <v>38</v>
      </c>
      <c r="E5">
        <v>7.0000000000000007E-2</v>
      </c>
      <c r="F5" t="s">
        <v>39</v>
      </c>
      <c r="G5" s="16" t="str">
        <f>Hoja1!C9</f>
        <v>m3</v>
      </c>
    </row>
    <row r="6" spans="1:7" x14ac:dyDescent="0.3">
      <c r="A6" s="15"/>
      <c r="G6" s="16"/>
    </row>
    <row r="7" spans="1:7" x14ac:dyDescent="0.3">
      <c r="A7" s="42" t="s">
        <v>31</v>
      </c>
      <c r="B7" s="43"/>
      <c r="C7" s="43"/>
      <c r="D7" s="43"/>
      <c r="E7" s="43"/>
      <c r="F7" s="43"/>
      <c r="G7" s="44"/>
    </row>
    <row r="8" spans="1:7" x14ac:dyDescent="0.3">
      <c r="A8" s="32" t="s">
        <v>32</v>
      </c>
      <c r="B8" s="33"/>
      <c r="C8" s="3" t="s">
        <v>12</v>
      </c>
      <c r="D8" s="3" t="s">
        <v>34</v>
      </c>
      <c r="E8" s="3" t="s">
        <v>35</v>
      </c>
      <c r="F8" s="3" t="s">
        <v>36</v>
      </c>
      <c r="G8" s="17" t="s">
        <v>37</v>
      </c>
    </row>
    <row r="9" spans="1:7" x14ac:dyDescent="0.3">
      <c r="A9" s="30" t="s">
        <v>33</v>
      </c>
      <c r="B9" s="31"/>
      <c r="C9" s="1">
        <v>1</v>
      </c>
      <c r="D9" s="1" t="s">
        <v>61</v>
      </c>
      <c r="E9" s="1"/>
      <c r="F9" s="5">
        <f>E5</f>
        <v>7.0000000000000007E-2</v>
      </c>
      <c r="G9" s="18">
        <f>G24*5%</f>
        <v>3.3939500000000004E-2</v>
      </c>
    </row>
    <row r="10" spans="1:7" x14ac:dyDescent="0.3">
      <c r="A10" s="30" t="s">
        <v>85</v>
      </c>
      <c r="B10" s="31"/>
      <c r="C10" s="1">
        <v>1</v>
      </c>
      <c r="D10" s="1">
        <v>45</v>
      </c>
      <c r="E10" s="5">
        <f>D10*C10</f>
        <v>45</v>
      </c>
      <c r="F10" s="5">
        <f>E5</f>
        <v>7.0000000000000007E-2</v>
      </c>
      <c r="G10" s="18">
        <f>F10*E10</f>
        <v>3.1500000000000004</v>
      </c>
    </row>
    <row r="11" spans="1:7" x14ac:dyDescent="0.3">
      <c r="A11" s="30"/>
      <c r="B11" s="31"/>
      <c r="C11" s="1"/>
      <c r="D11" s="1"/>
      <c r="E11" s="1"/>
      <c r="F11" s="5">
        <f>E5</f>
        <v>7.0000000000000007E-2</v>
      </c>
      <c r="G11" s="19"/>
    </row>
    <row r="12" spans="1:7" x14ac:dyDescent="0.3">
      <c r="A12" s="30"/>
      <c r="B12" s="31"/>
      <c r="C12" s="1"/>
      <c r="D12" s="1"/>
      <c r="E12" s="1"/>
      <c r="F12" s="1"/>
      <c r="G12" s="19"/>
    </row>
    <row r="13" spans="1:7" x14ac:dyDescent="0.3">
      <c r="A13" s="30"/>
      <c r="B13" s="31"/>
      <c r="C13" s="1"/>
      <c r="D13" s="1"/>
      <c r="E13" s="1"/>
      <c r="F13" s="1"/>
      <c r="G13" s="19"/>
    </row>
    <row r="14" spans="1:7" x14ac:dyDescent="0.3">
      <c r="A14" s="30"/>
      <c r="B14" s="31"/>
      <c r="C14" s="1"/>
      <c r="D14" s="1"/>
      <c r="E14" s="1"/>
      <c r="F14" s="1"/>
      <c r="G14" s="19"/>
    </row>
    <row r="15" spans="1:7" x14ac:dyDescent="0.3">
      <c r="A15" s="30"/>
      <c r="B15" s="31"/>
      <c r="C15" s="1"/>
      <c r="D15" s="1"/>
      <c r="E15" s="1"/>
      <c r="F15" s="1"/>
      <c r="G15" s="19"/>
    </row>
    <row r="16" spans="1:7" x14ac:dyDescent="0.3">
      <c r="A16" s="30"/>
      <c r="B16" s="31"/>
      <c r="C16" s="1"/>
      <c r="D16" s="1"/>
      <c r="E16" s="1"/>
      <c r="F16" s="1"/>
      <c r="G16" s="19"/>
    </row>
    <row r="17" spans="1:7" x14ac:dyDescent="0.3">
      <c r="A17" s="15"/>
      <c r="F17" s="11" t="s">
        <v>45</v>
      </c>
      <c r="G17" s="18">
        <f>ROUND(SUM(G9:G16),5)</f>
        <v>3.1839400000000002</v>
      </c>
    </row>
    <row r="18" spans="1:7" x14ac:dyDescent="0.3">
      <c r="A18" s="20" t="s">
        <v>42</v>
      </c>
      <c r="G18" s="16"/>
    </row>
    <row r="19" spans="1:7" x14ac:dyDescent="0.3">
      <c r="A19" s="32" t="s">
        <v>32</v>
      </c>
      <c r="B19" s="33"/>
      <c r="C19" s="3" t="s">
        <v>12</v>
      </c>
      <c r="D19" s="3" t="s">
        <v>62</v>
      </c>
      <c r="E19" s="3" t="s">
        <v>35</v>
      </c>
      <c r="F19" s="3" t="s">
        <v>36</v>
      </c>
      <c r="G19" s="17" t="s">
        <v>37</v>
      </c>
    </row>
    <row r="20" spans="1:7" x14ac:dyDescent="0.3">
      <c r="A20" s="30" t="s">
        <v>86</v>
      </c>
      <c r="B20" s="31"/>
      <c r="C20" s="1">
        <v>1</v>
      </c>
      <c r="D20" s="1">
        <v>4.87</v>
      </c>
      <c r="E20" s="5">
        <f>D20*C20</f>
        <v>4.87</v>
      </c>
      <c r="F20" s="5">
        <f>E5</f>
        <v>7.0000000000000007E-2</v>
      </c>
      <c r="G20" s="18">
        <f>F20*E20</f>
        <v>0.34090000000000004</v>
      </c>
    </row>
    <row r="21" spans="1:7" x14ac:dyDescent="0.3">
      <c r="A21" s="30" t="s">
        <v>63</v>
      </c>
      <c r="B21" s="31"/>
      <c r="C21" s="1">
        <v>1</v>
      </c>
      <c r="D21" s="1">
        <v>4.34</v>
      </c>
      <c r="E21" s="5">
        <f t="shared" ref="E21:E22" si="0">D21*C21</f>
        <v>4.34</v>
      </c>
      <c r="F21" s="5">
        <f>E5</f>
        <v>7.0000000000000007E-2</v>
      </c>
      <c r="G21" s="18">
        <f t="shared" ref="G21:G22" si="1">F21*E21</f>
        <v>0.30380000000000001</v>
      </c>
    </row>
    <row r="22" spans="1:7" x14ac:dyDescent="0.3">
      <c r="A22" s="30" t="s">
        <v>87</v>
      </c>
      <c r="B22" s="31"/>
      <c r="C22" s="1">
        <v>0.1</v>
      </c>
      <c r="D22" s="1">
        <v>4.87</v>
      </c>
      <c r="E22" s="5">
        <f t="shared" si="0"/>
        <v>0.48700000000000004</v>
      </c>
      <c r="F22" s="5">
        <f>E5</f>
        <v>7.0000000000000007E-2</v>
      </c>
      <c r="G22" s="18">
        <f t="shared" si="1"/>
        <v>3.4090000000000009E-2</v>
      </c>
    </row>
    <row r="23" spans="1:7" x14ac:dyDescent="0.3">
      <c r="A23" s="30"/>
      <c r="B23" s="31"/>
      <c r="C23" s="1"/>
      <c r="D23" s="1"/>
      <c r="E23" s="1"/>
      <c r="F23" s="1"/>
      <c r="G23" s="19"/>
    </row>
    <row r="24" spans="1:7" x14ac:dyDescent="0.3">
      <c r="A24" s="34"/>
      <c r="B24" s="35"/>
      <c r="F24" s="11" t="s">
        <v>46</v>
      </c>
      <c r="G24" s="18">
        <f>ROUND(SUM(G20:G22),5)</f>
        <v>0.67879</v>
      </c>
    </row>
    <row r="25" spans="1:7" x14ac:dyDescent="0.3">
      <c r="A25" s="20" t="s">
        <v>43</v>
      </c>
      <c r="G25" s="16"/>
    </row>
    <row r="26" spans="1:7" x14ac:dyDescent="0.3">
      <c r="A26" s="28" t="s">
        <v>32</v>
      </c>
      <c r="B26" s="29"/>
      <c r="C26" s="13"/>
      <c r="D26" s="13" t="s">
        <v>48</v>
      </c>
      <c r="E26" s="13" t="s">
        <v>12</v>
      </c>
      <c r="F26" s="13" t="s">
        <v>13</v>
      </c>
      <c r="G26" s="21" t="s">
        <v>37</v>
      </c>
    </row>
    <row r="27" spans="1:7" x14ac:dyDescent="0.3">
      <c r="A27" s="30" t="s">
        <v>88</v>
      </c>
      <c r="B27" s="31"/>
      <c r="C27" s="1"/>
      <c r="D27" s="1"/>
      <c r="E27" s="1">
        <v>1.2</v>
      </c>
      <c r="F27" s="1">
        <v>8</v>
      </c>
      <c r="G27" s="18">
        <f>F27*E27</f>
        <v>9.6</v>
      </c>
    </row>
    <row r="28" spans="1:7" x14ac:dyDescent="0.3">
      <c r="A28" s="30"/>
      <c r="B28" s="31"/>
      <c r="C28" s="1"/>
      <c r="D28" s="1"/>
      <c r="E28" s="1"/>
      <c r="F28" s="1"/>
      <c r="G28" s="18">
        <f t="shared" ref="G28:G29" si="2">F28*E28</f>
        <v>0</v>
      </c>
    </row>
    <row r="29" spans="1:7" x14ac:dyDescent="0.3">
      <c r="A29" s="30"/>
      <c r="B29" s="31"/>
      <c r="C29" s="1"/>
      <c r="D29" s="1"/>
      <c r="E29" s="1"/>
      <c r="F29" s="1"/>
      <c r="G29" s="18">
        <f t="shared" si="2"/>
        <v>0</v>
      </c>
    </row>
    <row r="30" spans="1:7" x14ac:dyDescent="0.3">
      <c r="A30" s="30"/>
      <c r="B30" s="31"/>
      <c r="C30" s="1"/>
      <c r="D30" s="1"/>
      <c r="E30" s="1"/>
      <c r="F30" s="1"/>
      <c r="G30" s="19"/>
    </row>
    <row r="31" spans="1:7" x14ac:dyDescent="0.3">
      <c r="A31" s="30"/>
      <c r="B31" s="31"/>
      <c r="C31" s="1"/>
      <c r="D31" s="1"/>
      <c r="E31" s="1"/>
      <c r="F31" s="1"/>
      <c r="G31" s="19"/>
    </row>
    <row r="32" spans="1:7" x14ac:dyDescent="0.3">
      <c r="A32" s="30"/>
      <c r="B32" s="31"/>
      <c r="C32" s="1"/>
      <c r="D32" s="1"/>
      <c r="E32" s="1"/>
      <c r="F32" s="1"/>
      <c r="G32" s="19"/>
    </row>
    <row r="33" spans="1:7" x14ac:dyDescent="0.3">
      <c r="A33" s="15"/>
      <c r="F33" s="12" t="s">
        <v>51</v>
      </c>
      <c r="G33" s="22">
        <f>ROUND(SUM(G27:G32),5)</f>
        <v>9.6</v>
      </c>
    </row>
    <row r="34" spans="1:7" x14ac:dyDescent="0.3">
      <c r="A34" s="20" t="s">
        <v>47</v>
      </c>
      <c r="G34" s="16"/>
    </row>
    <row r="35" spans="1:7" x14ac:dyDescent="0.3">
      <c r="A35" s="28" t="s">
        <v>32</v>
      </c>
      <c r="B35" s="29"/>
      <c r="C35" s="13"/>
      <c r="D35" s="13" t="s">
        <v>48</v>
      </c>
      <c r="E35" s="13" t="s">
        <v>12</v>
      </c>
      <c r="F35" s="13" t="s">
        <v>49</v>
      </c>
      <c r="G35" s="21" t="s">
        <v>37</v>
      </c>
    </row>
    <row r="36" spans="1:7" x14ac:dyDescent="0.3">
      <c r="A36" s="30"/>
      <c r="B36" s="31"/>
      <c r="C36" s="1"/>
      <c r="D36" s="1"/>
      <c r="E36" s="1"/>
      <c r="F36" s="1"/>
      <c r="G36" s="19"/>
    </row>
    <row r="37" spans="1:7" x14ac:dyDescent="0.3">
      <c r="A37" s="30"/>
      <c r="B37" s="31"/>
      <c r="C37" s="1"/>
      <c r="D37" s="1"/>
      <c r="E37" s="1"/>
      <c r="F37" s="1"/>
      <c r="G37" s="19"/>
    </row>
    <row r="38" spans="1:7" x14ac:dyDescent="0.3">
      <c r="A38" s="15"/>
      <c r="F38" s="12" t="s">
        <v>52</v>
      </c>
      <c r="G38" s="23"/>
    </row>
    <row r="39" spans="1:7" x14ac:dyDescent="0.3">
      <c r="A39" s="15" t="s">
        <v>53</v>
      </c>
      <c r="G39" s="16"/>
    </row>
    <row r="40" spans="1:7" x14ac:dyDescent="0.3">
      <c r="A40" s="15"/>
      <c r="D40" t="s">
        <v>54</v>
      </c>
      <c r="G40" s="24">
        <f>ROUND((G17+G24+G33+G38),2)</f>
        <v>13.46</v>
      </c>
    </row>
    <row r="41" spans="1:7" x14ac:dyDescent="0.3">
      <c r="A41" s="15"/>
      <c r="D41" t="s">
        <v>55</v>
      </c>
      <c r="F41" s="14">
        <v>0.25</v>
      </c>
      <c r="G41" s="24">
        <f>ROUND((G40*F41),2)</f>
        <v>3.37</v>
      </c>
    </row>
    <row r="42" spans="1:7" x14ac:dyDescent="0.3">
      <c r="A42" s="15"/>
      <c r="D42" t="s">
        <v>56</v>
      </c>
      <c r="G42" s="16"/>
    </row>
    <row r="43" spans="1:7" x14ac:dyDescent="0.3">
      <c r="A43" s="15"/>
      <c r="G43" s="16"/>
    </row>
    <row r="44" spans="1:7" x14ac:dyDescent="0.3">
      <c r="A44" s="15"/>
      <c r="G44" s="16"/>
    </row>
    <row r="45" spans="1:7" x14ac:dyDescent="0.3">
      <c r="A45" s="15" t="s">
        <v>59</v>
      </c>
      <c r="D45" t="s">
        <v>57</v>
      </c>
      <c r="G45" s="24">
        <f>ROUND((G41+G40),2)</f>
        <v>16.829999999999998</v>
      </c>
    </row>
    <row r="46" spans="1:7" ht="15" thickBot="1" x14ac:dyDescent="0.35">
      <c r="A46" s="25" t="s">
        <v>60</v>
      </c>
      <c r="B46" s="26"/>
      <c r="C46" s="26"/>
      <c r="D46" s="26" t="s">
        <v>58</v>
      </c>
      <c r="E46" s="26"/>
      <c r="F46" s="26"/>
      <c r="G46" s="27">
        <f>G45</f>
        <v>16.829999999999998</v>
      </c>
    </row>
  </sheetData>
  <mergeCells count="27">
    <mergeCell ref="A11:B11"/>
    <mergeCell ref="A1:G2"/>
    <mergeCell ref="A7:G7"/>
    <mergeCell ref="A8:B8"/>
    <mergeCell ref="A9:B9"/>
    <mergeCell ref="A10:B10"/>
    <mergeCell ref="A26:B26"/>
    <mergeCell ref="A12:B12"/>
    <mergeCell ref="A13:B13"/>
    <mergeCell ref="A14:B14"/>
    <mergeCell ref="A15:B15"/>
    <mergeCell ref="A16:B16"/>
    <mergeCell ref="A19:B19"/>
    <mergeCell ref="A20:B20"/>
    <mergeCell ref="A21:B21"/>
    <mergeCell ref="A22:B22"/>
    <mergeCell ref="A23:B23"/>
    <mergeCell ref="A24:B24"/>
    <mergeCell ref="A35:B35"/>
    <mergeCell ref="A36:B36"/>
    <mergeCell ref="A37:B37"/>
    <mergeCell ref="A27:B27"/>
    <mergeCell ref="A28:B28"/>
    <mergeCell ref="A29:B29"/>
    <mergeCell ref="A30:B30"/>
    <mergeCell ref="A31:B31"/>
    <mergeCell ref="A32:B3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B3708-8838-5243-8B79-D641BB2E03EC}">
  <dimension ref="A1:G46"/>
  <sheetViews>
    <sheetView topLeftCell="A10" workbookViewId="0">
      <selection activeCell="F27" sqref="F27"/>
    </sheetView>
  </sheetViews>
  <sheetFormatPr baseColWidth="10" defaultColWidth="10.77734375" defaultRowHeight="14.4" x14ac:dyDescent="0.3"/>
  <cols>
    <col min="1" max="1" width="24.21875" customWidth="1"/>
    <col min="4" max="4" width="20" customWidth="1"/>
    <col min="5" max="5" width="18.77734375" customWidth="1"/>
    <col min="6" max="6" width="16.109375" customWidth="1"/>
    <col min="7" max="7" width="17.44140625" customWidth="1"/>
  </cols>
  <sheetData>
    <row r="1" spans="1:7" x14ac:dyDescent="0.3">
      <c r="A1" s="36" t="s">
        <v>44</v>
      </c>
      <c r="B1" s="37"/>
      <c r="C1" s="37"/>
      <c r="D1" s="37"/>
      <c r="E1" s="37"/>
      <c r="F1" s="37"/>
      <c r="G1" s="38"/>
    </row>
    <row r="2" spans="1:7" x14ac:dyDescent="0.3">
      <c r="A2" s="39"/>
      <c r="B2" s="40"/>
      <c r="C2" s="40"/>
      <c r="D2" s="40"/>
      <c r="E2" s="40"/>
      <c r="F2" s="40"/>
      <c r="G2" s="41"/>
    </row>
    <row r="3" spans="1:7" x14ac:dyDescent="0.3">
      <c r="A3" s="15" t="s">
        <v>30</v>
      </c>
      <c r="G3" s="16" t="s">
        <v>41</v>
      </c>
    </row>
    <row r="4" spans="1:7" x14ac:dyDescent="0.3">
      <c r="A4" s="15" t="str">
        <f>Hoja1!B10</f>
        <v>Enconfrado de bordillo</v>
      </c>
      <c r="G4" s="16" t="s">
        <v>40</v>
      </c>
    </row>
    <row r="5" spans="1:7" x14ac:dyDescent="0.3">
      <c r="A5" s="15" t="s">
        <v>50</v>
      </c>
      <c r="D5" t="s">
        <v>38</v>
      </c>
      <c r="E5">
        <v>0.05</v>
      </c>
      <c r="F5" t="s">
        <v>39</v>
      </c>
      <c r="G5" s="16" t="str">
        <f>Hoja1!C10</f>
        <v>ml</v>
      </c>
    </row>
    <row r="6" spans="1:7" x14ac:dyDescent="0.3">
      <c r="A6" s="15"/>
      <c r="G6" s="16"/>
    </row>
    <row r="7" spans="1:7" x14ac:dyDescent="0.3">
      <c r="A7" s="42" t="s">
        <v>31</v>
      </c>
      <c r="B7" s="43"/>
      <c r="C7" s="43"/>
      <c r="D7" s="43"/>
      <c r="E7" s="43"/>
      <c r="F7" s="43"/>
      <c r="G7" s="44"/>
    </row>
    <row r="8" spans="1:7" x14ac:dyDescent="0.3">
      <c r="A8" s="32" t="s">
        <v>32</v>
      </c>
      <c r="B8" s="33"/>
      <c r="C8" s="3" t="s">
        <v>12</v>
      </c>
      <c r="D8" s="3" t="s">
        <v>34</v>
      </c>
      <c r="E8" s="3" t="s">
        <v>35</v>
      </c>
      <c r="F8" s="3" t="s">
        <v>36</v>
      </c>
      <c r="G8" s="17" t="s">
        <v>37</v>
      </c>
    </row>
    <row r="9" spans="1:7" x14ac:dyDescent="0.3">
      <c r="A9" s="30" t="s">
        <v>33</v>
      </c>
      <c r="B9" s="31"/>
      <c r="C9" s="1">
        <v>1</v>
      </c>
      <c r="D9" s="1" t="s">
        <v>61</v>
      </c>
      <c r="E9" s="1"/>
      <c r="F9" s="5">
        <f>E5</f>
        <v>0.05</v>
      </c>
      <c r="G9" s="18">
        <f>G24*5%</f>
        <v>3.2675000000000003E-2</v>
      </c>
    </row>
    <row r="10" spans="1:7" x14ac:dyDescent="0.3">
      <c r="A10" s="30"/>
      <c r="B10" s="31"/>
      <c r="C10" s="1"/>
      <c r="D10" s="1"/>
      <c r="E10" s="5">
        <f>D10*C10</f>
        <v>0</v>
      </c>
      <c r="F10" s="5">
        <f>E5</f>
        <v>0.05</v>
      </c>
      <c r="G10" s="18">
        <f>F10*E10</f>
        <v>0</v>
      </c>
    </row>
    <row r="11" spans="1:7" x14ac:dyDescent="0.3">
      <c r="A11" s="30"/>
      <c r="B11" s="31"/>
      <c r="C11" s="1"/>
      <c r="D11" s="1"/>
      <c r="E11" s="1"/>
      <c r="F11" s="5">
        <f>E5</f>
        <v>0.05</v>
      </c>
      <c r="G11" s="19"/>
    </row>
    <row r="12" spans="1:7" x14ac:dyDescent="0.3">
      <c r="A12" s="30"/>
      <c r="B12" s="31"/>
      <c r="C12" s="1"/>
      <c r="D12" s="1"/>
      <c r="E12" s="1"/>
      <c r="F12" s="1"/>
      <c r="G12" s="19"/>
    </row>
    <row r="13" spans="1:7" x14ac:dyDescent="0.3">
      <c r="A13" s="30"/>
      <c r="B13" s="31"/>
      <c r="C13" s="1"/>
      <c r="D13" s="1"/>
      <c r="E13" s="1"/>
      <c r="F13" s="1"/>
      <c r="G13" s="19"/>
    </row>
    <row r="14" spans="1:7" x14ac:dyDescent="0.3">
      <c r="A14" s="30"/>
      <c r="B14" s="31"/>
      <c r="C14" s="1"/>
      <c r="D14" s="1"/>
      <c r="E14" s="1"/>
      <c r="F14" s="1"/>
      <c r="G14" s="19"/>
    </row>
    <row r="15" spans="1:7" x14ac:dyDescent="0.3">
      <c r="A15" s="30"/>
      <c r="B15" s="31"/>
      <c r="C15" s="1"/>
      <c r="D15" s="1"/>
      <c r="E15" s="1"/>
      <c r="F15" s="1"/>
      <c r="G15" s="19"/>
    </row>
    <row r="16" spans="1:7" x14ac:dyDescent="0.3">
      <c r="A16" s="30"/>
      <c r="B16" s="31"/>
      <c r="C16" s="1"/>
      <c r="D16" s="1"/>
      <c r="E16" s="1"/>
      <c r="F16" s="1"/>
      <c r="G16" s="19"/>
    </row>
    <row r="17" spans="1:7" x14ac:dyDescent="0.3">
      <c r="A17" s="15"/>
      <c r="F17" s="11" t="s">
        <v>45</v>
      </c>
      <c r="G17" s="18">
        <f>ROUND(SUM(G9:G16),5)</f>
        <v>3.2680000000000001E-2</v>
      </c>
    </row>
    <row r="18" spans="1:7" x14ac:dyDescent="0.3">
      <c r="A18" s="20" t="s">
        <v>42</v>
      </c>
      <c r="G18" s="16"/>
    </row>
    <row r="19" spans="1:7" x14ac:dyDescent="0.3">
      <c r="A19" s="32" t="s">
        <v>32</v>
      </c>
      <c r="B19" s="33"/>
      <c r="C19" s="3" t="s">
        <v>12</v>
      </c>
      <c r="D19" s="3" t="s">
        <v>62</v>
      </c>
      <c r="E19" s="3" t="s">
        <v>35</v>
      </c>
      <c r="F19" s="3" t="s">
        <v>36</v>
      </c>
      <c r="G19" s="17" t="s">
        <v>37</v>
      </c>
    </row>
    <row r="20" spans="1:7" x14ac:dyDescent="0.3">
      <c r="A20" s="30" t="s">
        <v>89</v>
      </c>
      <c r="B20" s="31"/>
      <c r="C20" s="1">
        <v>1</v>
      </c>
      <c r="D20" s="1">
        <v>4.3899999999999997</v>
      </c>
      <c r="E20" s="5">
        <f>D20*C20</f>
        <v>4.3899999999999997</v>
      </c>
      <c r="F20" s="5">
        <f>E5</f>
        <v>0.05</v>
      </c>
      <c r="G20" s="18">
        <f>F20*E20</f>
        <v>0.2195</v>
      </c>
    </row>
    <row r="21" spans="1:7" x14ac:dyDescent="0.3">
      <c r="A21" s="30" t="s">
        <v>63</v>
      </c>
      <c r="B21" s="31"/>
      <c r="C21" s="1">
        <v>2</v>
      </c>
      <c r="D21" s="1">
        <v>4.34</v>
      </c>
      <c r="E21" s="5">
        <f t="shared" ref="E21:E22" si="0">D21*C21</f>
        <v>8.68</v>
      </c>
      <c r="F21" s="5">
        <f>E5</f>
        <v>0.05</v>
      </c>
      <c r="G21" s="18">
        <f t="shared" ref="G21:G22" si="1">F21*E21</f>
        <v>0.434</v>
      </c>
    </row>
    <row r="22" spans="1:7" x14ac:dyDescent="0.3">
      <c r="A22" s="30"/>
      <c r="B22" s="31"/>
      <c r="C22" s="1"/>
      <c r="D22" s="1"/>
      <c r="E22" s="5">
        <f t="shared" si="0"/>
        <v>0</v>
      </c>
      <c r="F22" s="5">
        <f t="shared" ref="F22" si="2">E7</f>
        <v>0</v>
      </c>
      <c r="G22" s="18">
        <f t="shared" si="1"/>
        <v>0</v>
      </c>
    </row>
    <row r="23" spans="1:7" x14ac:dyDescent="0.3">
      <c r="A23" s="30"/>
      <c r="B23" s="31"/>
      <c r="C23" s="1"/>
      <c r="D23" s="1"/>
      <c r="E23" s="1"/>
      <c r="F23" s="1"/>
      <c r="G23" s="19"/>
    </row>
    <row r="24" spans="1:7" x14ac:dyDescent="0.3">
      <c r="A24" s="34"/>
      <c r="B24" s="35"/>
      <c r="F24" s="11" t="s">
        <v>46</v>
      </c>
      <c r="G24" s="18">
        <f>ROUND(SUM(G20:G22),5)</f>
        <v>0.65349999999999997</v>
      </c>
    </row>
    <row r="25" spans="1:7" x14ac:dyDescent="0.3">
      <c r="A25" s="20" t="s">
        <v>43</v>
      </c>
      <c r="G25" s="16"/>
    </row>
    <row r="26" spans="1:7" x14ac:dyDescent="0.3">
      <c r="A26" s="28" t="s">
        <v>32</v>
      </c>
      <c r="B26" s="29"/>
      <c r="C26" s="13"/>
      <c r="D26" s="13" t="s">
        <v>48</v>
      </c>
      <c r="E26" s="13" t="s">
        <v>12</v>
      </c>
      <c r="F26" s="13" t="s">
        <v>13</v>
      </c>
      <c r="G26" s="21" t="s">
        <v>37</v>
      </c>
    </row>
    <row r="27" spans="1:7" x14ac:dyDescent="0.3">
      <c r="A27" s="30" t="s">
        <v>90</v>
      </c>
      <c r="B27" s="31"/>
      <c r="C27" s="1"/>
      <c r="D27" s="1" t="s">
        <v>17</v>
      </c>
      <c r="E27" s="1">
        <v>1</v>
      </c>
      <c r="F27" s="1">
        <v>1</v>
      </c>
      <c r="G27" s="18">
        <f>F27*E27</f>
        <v>1</v>
      </c>
    </row>
    <row r="28" spans="1:7" x14ac:dyDescent="0.3">
      <c r="A28" s="30"/>
      <c r="B28" s="31"/>
      <c r="C28" s="1"/>
      <c r="D28" s="1"/>
      <c r="E28" s="1"/>
      <c r="F28" s="1"/>
      <c r="G28" s="18">
        <f t="shared" ref="G28:G29" si="3">F28*E28</f>
        <v>0</v>
      </c>
    </row>
    <row r="29" spans="1:7" x14ac:dyDescent="0.3">
      <c r="A29" s="30"/>
      <c r="B29" s="31"/>
      <c r="C29" s="1"/>
      <c r="D29" s="1"/>
      <c r="E29" s="1"/>
      <c r="F29" s="1"/>
      <c r="G29" s="18">
        <f t="shared" si="3"/>
        <v>0</v>
      </c>
    </row>
    <row r="30" spans="1:7" x14ac:dyDescent="0.3">
      <c r="A30" s="30"/>
      <c r="B30" s="31"/>
      <c r="C30" s="1"/>
      <c r="D30" s="1"/>
      <c r="E30" s="1"/>
      <c r="F30" s="1"/>
      <c r="G30" s="19"/>
    </row>
    <row r="31" spans="1:7" x14ac:dyDescent="0.3">
      <c r="A31" s="30"/>
      <c r="B31" s="31"/>
      <c r="C31" s="1"/>
      <c r="D31" s="1"/>
      <c r="E31" s="1"/>
      <c r="F31" s="1"/>
      <c r="G31" s="19"/>
    </row>
    <row r="32" spans="1:7" x14ac:dyDescent="0.3">
      <c r="A32" s="30"/>
      <c r="B32" s="31"/>
      <c r="C32" s="1"/>
      <c r="D32" s="1"/>
      <c r="E32" s="1"/>
      <c r="F32" s="1"/>
      <c r="G32" s="19"/>
    </row>
    <row r="33" spans="1:7" x14ac:dyDescent="0.3">
      <c r="A33" s="15"/>
      <c r="F33" s="12" t="s">
        <v>51</v>
      </c>
      <c r="G33" s="22">
        <f>ROUND(SUM(G27:G32),5)</f>
        <v>1</v>
      </c>
    </row>
    <row r="34" spans="1:7" x14ac:dyDescent="0.3">
      <c r="A34" s="20" t="s">
        <v>47</v>
      </c>
      <c r="G34" s="16"/>
    </row>
    <row r="35" spans="1:7" x14ac:dyDescent="0.3">
      <c r="A35" s="28" t="s">
        <v>32</v>
      </c>
      <c r="B35" s="29"/>
      <c r="C35" s="13"/>
      <c r="D35" s="13" t="s">
        <v>48</v>
      </c>
      <c r="E35" s="13" t="s">
        <v>12</v>
      </c>
      <c r="F35" s="13" t="s">
        <v>49</v>
      </c>
      <c r="G35" s="21" t="s">
        <v>37</v>
      </c>
    </row>
    <row r="36" spans="1:7" x14ac:dyDescent="0.3">
      <c r="A36" s="30"/>
      <c r="B36" s="31"/>
      <c r="C36" s="1"/>
      <c r="D36" s="1"/>
      <c r="E36" s="1"/>
      <c r="F36" s="1"/>
      <c r="G36" s="19"/>
    </row>
    <row r="37" spans="1:7" x14ac:dyDescent="0.3">
      <c r="A37" s="30"/>
      <c r="B37" s="31"/>
      <c r="C37" s="1"/>
      <c r="D37" s="1"/>
      <c r="E37" s="1"/>
      <c r="F37" s="1"/>
      <c r="G37" s="19"/>
    </row>
    <row r="38" spans="1:7" x14ac:dyDescent="0.3">
      <c r="A38" s="15"/>
      <c r="F38" s="12" t="s">
        <v>52</v>
      </c>
      <c r="G38" s="23"/>
    </row>
    <row r="39" spans="1:7" x14ac:dyDescent="0.3">
      <c r="A39" s="15" t="s">
        <v>53</v>
      </c>
      <c r="G39" s="16"/>
    </row>
    <row r="40" spans="1:7" x14ac:dyDescent="0.3">
      <c r="A40" s="15"/>
      <c r="D40" t="s">
        <v>54</v>
      </c>
      <c r="G40" s="24">
        <f>ROUND((G17+G24+G33+G38),2)</f>
        <v>1.69</v>
      </c>
    </row>
    <row r="41" spans="1:7" x14ac:dyDescent="0.3">
      <c r="A41" s="15"/>
      <c r="D41" t="s">
        <v>55</v>
      </c>
      <c r="F41" s="14">
        <v>0.25</v>
      </c>
      <c r="G41" s="24">
        <f>ROUND((G40*F41),2)</f>
        <v>0.42</v>
      </c>
    </row>
    <row r="42" spans="1:7" x14ac:dyDescent="0.3">
      <c r="A42" s="15"/>
      <c r="D42" t="s">
        <v>56</v>
      </c>
      <c r="G42" s="16"/>
    </row>
    <row r="43" spans="1:7" x14ac:dyDescent="0.3">
      <c r="A43" s="15"/>
      <c r="G43" s="16"/>
    </row>
    <row r="44" spans="1:7" x14ac:dyDescent="0.3">
      <c r="A44" s="15"/>
      <c r="G44" s="16"/>
    </row>
    <row r="45" spans="1:7" x14ac:dyDescent="0.3">
      <c r="A45" s="15" t="s">
        <v>59</v>
      </c>
      <c r="D45" t="s">
        <v>57</v>
      </c>
      <c r="G45" s="24">
        <f>ROUND((G41+G40),2)</f>
        <v>2.11</v>
      </c>
    </row>
    <row r="46" spans="1:7" ht="15" thickBot="1" x14ac:dyDescent="0.35">
      <c r="A46" s="25" t="s">
        <v>60</v>
      </c>
      <c r="B46" s="26"/>
      <c r="C46" s="26"/>
      <c r="D46" s="26" t="s">
        <v>58</v>
      </c>
      <c r="E46" s="26"/>
      <c r="F46" s="26"/>
      <c r="G46" s="27">
        <f>G45</f>
        <v>2.11</v>
      </c>
    </row>
  </sheetData>
  <mergeCells count="27">
    <mergeCell ref="A11:B11"/>
    <mergeCell ref="A1:G2"/>
    <mergeCell ref="A7:G7"/>
    <mergeCell ref="A8:B8"/>
    <mergeCell ref="A9:B9"/>
    <mergeCell ref="A10:B10"/>
    <mergeCell ref="A26:B26"/>
    <mergeCell ref="A12:B12"/>
    <mergeCell ref="A13:B13"/>
    <mergeCell ref="A14:B14"/>
    <mergeCell ref="A15:B15"/>
    <mergeCell ref="A16:B16"/>
    <mergeCell ref="A19:B19"/>
    <mergeCell ref="A20:B20"/>
    <mergeCell ref="A21:B21"/>
    <mergeCell ref="A22:B22"/>
    <mergeCell ref="A23:B23"/>
    <mergeCell ref="A24:B24"/>
    <mergeCell ref="A35:B35"/>
    <mergeCell ref="A36:B36"/>
    <mergeCell ref="A37:B37"/>
    <mergeCell ref="A27:B27"/>
    <mergeCell ref="A28:B28"/>
    <mergeCell ref="A29:B29"/>
    <mergeCell ref="A30:B30"/>
    <mergeCell ref="A31:B31"/>
    <mergeCell ref="A32:B3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59AFD-DA9D-4F45-98E0-E98DC701184A}">
  <dimension ref="A1:G46"/>
  <sheetViews>
    <sheetView topLeftCell="C4" workbookViewId="0">
      <selection activeCell="D10" sqref="D10"/>
    </sheetView>
  </sheetViews>
  <sheetFormatPr baseColWidth="10" defaultColWidth="10.77734375" defaultRowHeight="14.4" x14ac:dyDescent="0.3"/>
  <cols>
    <col min="1" max="1" width="24.21875" customWidth="1"/>
    <col min="4" max="4" width="20" customWidth="1"/>
    <col min="5" max="5" width="18.77734375" customWidth="1"/>
    <col min="6" max="6" width="16.109375" customWidth="1"/>
    <col min="7" max="7" width="17.44140625" customWidth="1"/>
  </cols>
  <sheetData>
    <row r="1" spans="1:7" x14ac:dyDescent="0.3">
      <c r="A1" s="36" t="s">
        <v>44</v>
      </c>
      <c r="B1" s="37"/>
      <c r="C1" s="37"/>
      <c r="D1" s="37"/>
      <c r="E1" s="37"/>
      <c r="F1" s="37"/>
      <c r="G1" s="38"/>
    </row>
    <row r="2" spans="1:7" x14ac:dyDescent="0.3">
      <c r="A2" s="39"/>
      <c r="B2" s="40"/>
      <c r="C2" s="40"/>
      <c r="D2" s="40"/>
      <c r="E2" s="40"/>
      <c r="F2" s="40"/>
      <c r="G2" s="41"/>
    </row>
    <row r="3" spans="1:7" x14ac:dyDescent="0.3">
      <c r="A3" s="15" t="s">
        <v>30</v>
      </c>
      <c r="G3" s="16" t="s">
        <v>41</v>
      </c>
    </row>
    <row r="4" spans="1:7" x14ac:dyDescent="0.3">
      <c r="A4" s="15" t="str">
        <f>Hoja1!B11</f>
        <v>Bordillo de hormigon simple (15 cm x 50 cm )F'c=210 kg/cm2</v>
      </c>
      <c r="G4" s="16" t="s">
        <v>40</v>
      </c>
    </row>
    <row r="5" spans="1:7" x14ac:dyDescent="0.3">
      <c r="A5" s="15" t="s">
        <v>50</v>
      </c>
      <c r="D5" t="s">
        <v>38</v>
      </c>
      <c r="E5">
        <v>0.2</v>
      </c>
      <c r="F5" t="s">
        <v>39</v>
      </c>
      <c r="G5" s="16"/>
    </row>
    <row r="6" spans="1:7" x14ac:dyDescent="0.3">
      <c r="A6" s="15"/>
      <c r="G6" s="16"/>
    </row>
    <row r="7" spans="1:7" x14ac:dyDescent="0.3">
      <c r="A7" s="42" t="s">
        <v>31</v>
      </c>
      <c r="B7" s="43"/>
      <c r="C7" s="43"/>
      <c r="D7" s="43"/>
      <c r="E7" s="43"/>
      <c r="F7" s="43"/>
      <c r="G7" s="44"/>
    </row>
    <row r="8" spans="1:7" x14ac:dyDescent="0.3">
      <c r="A8" s="32" t="s">
        <v>32</v>
      </c>
      <c r="B8" s="33"/>
      <c r="C8" s="3" t="s">
        <v>12</v>
      </c>
      <c r="D8" s="3" t="s">
        <v>34</v>
      </c>
      <c r="E8" s="3" t="s">
        <v>35</v>
      </c>
      <c r="F8" s="3" t="s">
        <v>36</v>
      </c>
      <c r="G8" s="17" t="s">
        <v>37</v>
      </c>
    </row>
    <row r="9" spans="1:7" x14ac:dyDescent="0.3">
      <c r="A9" s="30" t="s">
        <v>33</v>
      </c>
      <c r="B9" s="31"/>
      <c r="C9" s="1">
        <v>1</v>
      </c>
      <c r="D9" s="1" t="s">
        <v>61</v>
      </c>
      <c r="E9" s="1"/>
      <c r="F9" s="5">
        <f>E5</f>
        <v>0.2</v>
      </c>
      <c r="G9" s="18">
        <f>G24*5%</f>
        <v>0.40084000000000003</v>
      </c>
    </row>
    <row r="10" spans="1:7" x14ac:dyDescent="0.3">
      <c r="A10" s="30" t="s">
        <v>91</v>
      </c>
      <c r="B10" s="31"/>
      <c r="C10" s="1">
        <v>1</v>
      </c>
      <c r="D10" s="1">
        <v>6</v>
      </c>
      <c r="E10" s="5">
        <f>D10*C10</f>
        <v>6</v>
      </c>
      <c r="F10" s="5">
        <f>E5</f>
        <v>0.2</v>
      </c>
      <c r="G10" s="18">
        <f>F10*E10</f>
        <v>1.2000000000000002</v>
      </c>
    </row>
    <row r="11" spans="1:7" x14ac:dyDescent="0.3">
      <c r="A11" s="30" t="s">
        <v>92</v>
      </c>
      <c r="B11" s="31"/>
      <c r="C11" s="1">
        <v>1</v>
      </c>
      <c r="D11" s="1">
        <v>4</v>
      </c>
      <c r="E11" s="1">
        <f>D11*C11</f>
        <v>4</v>
      </c>
      <c r="F11" s="5">
        <f>E5</f>
        <v>0.2</v>
      </c>
      <c r="G11" s="19">
        <f>E11*F11</f>
        <v>0.8</v>
      </c>
    </row>
    <row r="12" spans="1:7" x14ac:dyDescent="0.3">
      <c r="A12" s="30"/>
      <c r="B12" s="31"/>
      <c r="C12" s="1"/>
      <c r="D12" s="1"/>
      <c r="E12" s="1"/>
      <c r="F12" s="1"/>
      <c r="G12" s="19"/>
    </row>
    <row r="13" spans="1:7" x14ac:dyDescent="0.3">
      <c r="A13" s="30"/>
      <c r="B13" s="31"/>
      <c r="C13" s="1"/>
      <c r="D13" s="1"/>
      <c r="E13" s="1"/>
      <c r="F13" s="1"/>
      <c r="G13" s="19"/>
    </row>
    <row r="14" spans="1:7" x14ac:dyDescent="0.3">
      <c r="A14" s="30"/>
      <c r="B14" s="31"/>
      <c r="C14" s="1"/>
      <c r="D14" s="1"/>
      <c r="E14" s="1"/>
      <c r="F14" s="1"/>
      <c r="G14" s="19"/>
    </row>
    <row r="15" spans="1:7" x14ac:dyDescent="0.3">
      <c r="A15" s="30"/>
      <c r="B15" s="31"/>
      <c r="C15" s="1"/>
      <c r="D15" s="1"/>
      <c r="E15" s="1"/>
      <c r="F15" s="1"/>
      <c r="G15" s="19"/>
    </row>
    <row r="16" spans="1:7" x14ac:dyDescent="0.3">
      <c r="A16" s="30"/>
      <c r="B16" s="31"/>
      <c r="C16" s="1"/>
      <c r="D16" s="1"/>
      <c r="E16" s="1"/>
      <c r="F16" s="1"/>
      <c r="G16" s="19"/>
    </row>
    <row r="17" spans="1:7" x14ac:dyDescent="0.3">
      <c r="A17" s="15"/>
      <c r="F17" s="11" t="s">
        <v>45</v>
      </c>
      <c r="G17" s="18">
        <f>ROUND(SUM(G9:G16),5)</f>
        <v>2.4008400000000001</v>
      </c>
    </row>
    <row r="18" spans="1:7" x14ac:dyDescent="0.3">
      <c r="A18" s="20" t="s">
        <v>42</v>
      </c>
      <c r="G18" s="16"/>
    </row>
    <row r="19" spans="1:7" x14ac:dyDescent="0.3">
      <c r="A19" s="32" t="s">
        <v>32</v>
      </c>
      <c r="B19" s="33"/>
      <c r="C19" s="3" t="s">
        <v>12</v>
      </c>
      <c r="D19" s="3" t="s">
        <v>62</v>
      </c>
      <c r="E19" s="3" t="s">
        <v>35</v>
      </c>
      <c r="F19" s="3" t="s">
        <v>36</v>
      </c>
      <c r="G19" s="17" t="s">
        <v>37</v>
      </c>
    </row>
    <row r="20" spans="1:7" x14ac:dyDescent="0.3">
      <c r="A20" s="30" t="s">
        <v>93</v>
      </c>
      <c r="B20" s="31"/>
      <c r="C20" s="1">
        <v>1</v>
      </c>
      <c r="D20" s="1">
        <v>4.3899999999999997</v>
      </c>
      <c r="E20" s="5">
        <f>D20*C20</f>
        <v>4.3899999999999997</v>
      </c>
      <c r="F20" s="5">
        <f>E5</f>
        <v>0.2</v>
      </c>
      <c r="G20" s="18">
        <f>F20*E20</f>
        <v>0.878</v>
      </c>
    </row>
    <row r="21" spans="1:7" x14ac:dyDescent="0.3">
      <c r="A21" s="30" t="s">
        <v>63</v>
      </c>
      <c r="B21" s="31"/>
      <c r="C21" s="1">
        <v>8</v>
      </c>
      <c r="D21" s="1">
        <v>4.34</v>
      </c>
      <c r="E21" s="5">
        <f t="shared" ref="E21:E22" si="0">D21*C21</f>
        <v>34.72</v>
      </c>
      <c r="F21" s="5">
        <f>E5</f>
        <v>0.2</v>
      </c>
      <c r="G21" s="18">
        <f t="shared" ref="G21:G22" si="1">F21*E21</f>
        <v>6.944</v>
      </c>
    </row>
    <row r="22" spans="1:7" x14ac:dyDescent="0.3">
      <c r="A22" s="30" t="s">
        <v>94</v>
      </c>
      <c r="B22" s="31"/>
      <c r="C22" s="1">
        <v>0.2</v>
      </c>
      <c r="D22" s="1">
        <v>4.87</v>
      </c>
      <c r="E22" s="5">
        <f t="shared" si="0"/>
        <v>0.97400000000000009</v>
      </c>
      <c r="F22" s="5">
        <f>E5</f>
        <v>0.2</v>
      </c>
      <c r="G22" s="18">
        <f t="shared" si="1"/>
        <v>0.19480000000000003</v>
      </c>
    </row>
    <row r="23" spans="1:7" x14ac:dyDescent="0.3">
      <c r="A23" s="30"/>
      <c r="B23" s="31"/>
      <c r="C23" s="1"/>
      <c r="D23" s="1"/>
      <c r="E23" s="1"/>
      <c r="F23" s="1"/>
      <c r="G23" s="19"/>
    </row>
    <row r="24" spans="1:7" x14ac:dyDescent="0.3">
      <c r="A24" s="34"/>
      <c r="B24" s="35"/>
      <c r="F24" s="11" t="s">
        <v>46</v>
      </c>
      <c r="G24" s="18">
        <f>ROUND(SUM(G20:G22),5)</f>
        <v>8.0167999999999999</v>
      </c>
    </row>
    <row r="25" spans="1:7" x14ac:dyDescent="0.3">
      <c r="A25" s="20" t="s">
        <v>43</v>
      </c>
      <c r="G25" s="16"/>
    </row>
    <row r="26" spans="1:7" x14ac:dyDescent="0.3">
      <c r="A26" s="28" t="s">
        <v>32</v>
      </c>
      <c r="B26" s="29"/>
      <c r="C26" s="13"/>
      <c r="D26" s="13" t="s">
        <v>48</v>
      </c>
      <c r="E26" s="13" t="s">
        <v>12</v>
      </c>
      <c r="F26" s="13" t="s">
        <v>13</v>
      </c>
      <c r="G26" s="21" t="s">
        <v>37</v>
      </c>
    </row>
    <row r="27" spans="1:7" x14ac:dyDescent="0.3">
      <c r="A27" s="30" t="s">
        <v>95</v>
      </c>
      <c r="B27" s="31"/>
      <c r="C27" s="1"/>
      <c r="D27" s="1"/>
      <c r="E27" s="1">
        <v>26.25</v>
      </c>
      <c r="F27" s="1">
        <v>0.2</v>
      </c>
      <c r="G27" s="18">
        <f>F27*E27</f>
        <v>5.25</v>
      </c>
    </row>
    <row r="28" spans="1:7" x14ac:dyDescent="0.3">
      <c r="A28" s="30" t="s">
        <v>96</v>
      </c>
      <c r="B28" s="31"/>
      <c r="C28" s="1"/>
      <c r="D28" s="1"/>
      <c r="E28" s="1">
        <v>4.4999999999999998E-2</v>
      </c>
      <c r="F28" s="1">
        <v>10</v>
      </c>
      <c r="G28" s="18">
        <f t="shared" ref="G28:G29" si="2">F28*E28</f>
        <v>0.44999999999999996</v>
      </c>
    </row>
    <row r="29" spans="1:7" x14ac:dyDescent="0.3">
      <c r="A29" s="30" t="s">
        <v>97</v>
      </c>
      <c r="B29" s="31"/>
      <c r="C29" s="1"/>
      <c r="D29" s="1"/>
      <c r="E29" s="1">
        <v>6.8000000000000005E-2</v>
      </c>
      <c r="F29" s="1">
        <v>15</v>
      </c>
      <c r="G29" s="18">
        <f t="shared" si="2"/>
        <v>1.02</v>
      </c>
    </row>
    <row r="30" spans="1:7" x14ac:dyDescent="0.3">
      <c r="A30" s="30"/>
      <c r="B30" s="31"/>
      <c r="C30" s="1"/>
      <c r="D30" s="1"/>
      <c r="E30" s="1">
        <v>20</v>
      </c>
      <c r="F30" s="1">
        <v>0.01</v>
      </c>
      <c r="G30" s="19">
        <f>F30*E30</f>
        <v>0.2</v>
      </c>
    </row>
    <row r="31" spans="1:7" x14ac:dyDescent="0.3">
      <c r="A31" s="30"/>
      <c r="B31" s="31"/>
      <c r="C31" s="1"/>
      <c r="D31" s="1"/>
      <c r="E31" s="1"/>
      <c r="F31" s="1"/>
      <c r="G31" s="19"/>
    </row>
    <row r="32" spans="1:7" x14ac:dyDescent="0.3">
      <c r="A32" s="30"/>
      <c r="B32" s="31"/>
      <c r="C32" s="1"/>
      <c r="D32" s="1"/>
      <c r="E32" s="1"/>
      <c r="F32" s="1"/>
      <c r="G32" s="19"/>
    </row>
    <row r="33" spans="1:7" x14ac:dyDescent="0.3">
      <c r="A33" s="15"/>
      <c r="F33" s="12" t="s">
        <v>51</v>
      </c>
      <c r="G33" s="22">
        <f>ROUND(SUM(G27:G32),5)</f>
        <v>6.92</v>
      </c>
    </row>
    <row r="34" spans="1:7" x14ac:dyDescent="0.3">
      <c r="A34" s="20" t="s">
        <v>47</v>
      </c>
      <c r="G34" s="16"/>
    </row>
    <row r="35" spans="1:7" x14ac:dyDescent="0.3">
      <c r="A35" s="28" t="s">
        <v>32</v>
      </c>
      <c r="B35" s="29"/>
      <c r="C35" s="13"/>
      <c r="D35" s="13" t="s">
        <v>48</v>
      </c>
      <c r="E35" s="13" t="s">
        <v>12</v>
      </c>
      <c r="F35" s="13" t="s">
        <v>49</v>
      </c>
      <c r="G35" s="21" t="s">
        <v>37</v>
      </c>
    </row>
    <row r="36" spans="1:7" x14ac:dyDescent="0.3">
      <c r="A36" s="30"/>
      <c r="B36" s="31"/>
      <c r="C36" s="1"/>
      <c r="D36" s="1"/>
      <c r="E36" s="1"/>
      <c r="F36" s="1"/>
      <c r="G36" s="19"/>
    </row>
    <row r="37" spans="1:7" x14ac:dyDescent="0.3">
      <c r="A37" s="30"/>
      <c r="B37" s="31"/>
      <c r="C37" s="1"/>
      <c r="D37" s="1"/>
      <c r="E37" s="1"/>
      <c r="F37" s="1"/>
      <c r="G37" s="19"/>
    </row>
    <row r="38" spans="1:7" x14ac:dyDescent="0.3">
      <c r="A38" s="15"/>
      <c r="F38" s="12" t="s">
        <v>52</v>
      </c>
      <c r="G38" s="23"/>
    </row>
    <row r="39" spans="1:7" x14ac:dyDescent="0.3">
      <c r="A39" s="15" t="s">
        <v>53</v>
      </c>
      <c r="G39" s="16"/>
    </row>
    <row r="40" spans="1:7" x14ac:dyDescent="0.3">
      <c r="A40" s="15"/>
      <c r="D40" t="s">
        <v>54</v>
      </c>
      <c r="G40" s="24">
        <f>ROUND((G17+G24+G33+G38),2)</f>
        <v>17.34</v>
      </c>
    </row>
    <row r="41" spans="1:7" x14ac:dyDescent="0.3">
      <c r="A41" s="15"/>
      <c r="D41" t="s">
        <v>55</v>
      </c>
      <c r="F41" s="14">
        <v>0.25</v>
      </c>
      <c r="G41" s="24">
        <f>ROUND((G40*F41),2)</f>
        <v>4.34</v>
      </c>
    </row>
    <row r="42" spans="1:7" x14ac:dyDescent="0.3">
      <c r="A42" s="15"/>
      <c r="D42" t="s">
        <v>56</v>
      </c>
      <c r="G42" s="16"/>
    </row>
    <row r="43" spans="1:7" x14ac:dyDescent="0.3">
      <c r="A43" s="15"/>
      <c r="G43" s="16"/>
    </row>
    <row r="44" spans="1:7" x14ac:dyDescent="0.3">
      <c r="A44" s="15"/>
      <c r="G44" s="16"/>
    </row>
    <row r="45" spans="1:7" x14ac:dyDescent="0.3">
      <c r="A45" s="15" t="s">
        <v>59</v>
      </c>
      <c r="D45" t="s">
        <v>57</v>
      </c>
      <c r="G45" s="24">
        <f>ROUND((G41+G40),2)</f>
        <v>21.68</v>
      </c>
    </row>
    <row r="46" spans="1:7" ht="15" thickBot="1" x14ac:dyDescent="0.35">
      <c r="A46" s="25" t="s">
        <v>60</v>
      </c>
      <c r="B46" s="26"/>
      <c r="C46" s="26"/>
      <c r="D46" s="26" t="s">
        <v>58</v>
      </c>
      <c r="E46" s="26"/>
      <c r="F46" s="26"/>
      <c r="G46" s="27">
        <f>G45</f>
        <v>21.68</v>
      </c>
    </row>
  </sheetData>
  <mergeCells count="27">
    <mergeCell ref="A11:B11"/>
    <mergeCell ref="A1:G2"/>
    <mergeCell ref="A7:G7"/>
    <mergeCell ref="A8:B8"/>
    <mergeCell ref="A9:B9"/>
    <mergeCell ref="A10:B10"/>
    <mergeCell ref="A26:B26"/>
    <mergeCell ref="A12:B12"/>
    <mergeCell ref="A13:B13"/>
    <mergeCell ref="A14:B14"/>
    <mergeCell ref="A15:B15"/>
    <mergeCell ref="A16:B16"/>
    <mergeCell ref="A19:B19"/>
    <mergeCell ref="A20:B20"/>
    <mergeCell ref="A21:B21"/>
    <mergeCell ref="A22:B22"/>
    <mergeCell ref="A23:B23"/>
    <mergeCell ref="A24:B24"/>
    <mergeCell ref="A35:B35"/>
    <mergeCell ref="A36:B36"/>
    <mergeCell ref="A37:B37"/>
    <mergeCell ref="A27:B27"/>
    <mergeCell ref="A28:B28"/>
    <mergeCell ref="A29:B29"/>
    <mergeCell ref="A30:B30"/>
    <mergeCell ref="A31:B31"/>
    <mergeCell ref="A32:B3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97376-2842-9F40-9938-92E9A823BDC1}">
  <dimension ref="A1:G46"/>
  <sheetViews>
    <sheetView topLeftCell="A3" workbookViewId="0">
      <selection activeCell="G10" sqref="G10"/>
    </sheetView>
  </sheetViews>
  <sheetFormatPr baseColWidth="10" defaultColWidth="10.77734375" defaultRowHeight="14.4" x14ac:dyDescent="0.3"/>
  <cols>
    <col min="1" max="1" width="24.21875" customWidth="1"/>
    <col min="4" max="4" width="20" customWidth="1"/>
    <col min="5" max="5" width="18.77734375" customWidth="1"/>
    <col min="6" max="6" width="16.109375" customWidth="1"/>
    <col min="7" max="7" width="17.44140625" customWidth="1"/>
  </cols>
  <sheetData>
    <row r="1" spans="1:7" x14ac:dyDescent="0.3">
      <c r="A1" s="36" t="s">
        <v>44</v>
      </c>
      <c r="B1" s="37"/>
      <c r="C1" s="37"/>
      <c r="D1" s="37"/>
      <c r="E1" s="37"/>
      <c r="F1" s="37"/>
      <c r="G1" s="38"/>
    </row>
    <row r="2" spans="1:7" x14ac:dyDescent="0.3">
      <c r="A2" s="39"/>
      <c r="B2" s="40"/>
      <c r="C2" s="40"/>
      <c r="D2" s="40"/>
      <c r="E2" s="40"/>
      <c r="F2" s="40"/>
      <c r="G2" s="41"/>
    </row>
    <row r="3" spans="1:7" x14ac:dyDescent="0.3">
      <c r="A3" s="15" t="s">
        <v>30</v>
      </c>
      <c r="G3" s="16" t="s">
        <v>41</v>
      </c>
    </row>
    <row r="4" spans="1:7" x14ac:dyDescent="0.3">
      <c r="A4" s="15"/>
      <c r="G4" s="16" t="s">
        <v>40</v>
      </c>
    </row>
    <row r="5" spans="1:7" x14ac:dyDescent="0.3">
      <c r="A5" s="15" t="s">
        <v>50</v>
      </c>
      <c r="D5" t="s">
        <v>38</v>
      </c>
      <c r="E5">
        <v>0.05</v>
      </c>
      <c r="F5" t="s">
        <v>39</v>
      </c>
      <c r="G5" s="16"/>
    </row>
    <row r="6" spans="1:7" x14ac:dyDescent="0.3">
      <c r="A6" s="15"/>
      <c r="G6" s="16"/>
    </row>
    <row r="7" spans="1:7" x14ac:dyDescent="0.3">
      <c r="A7" s="42" t="s">
        <v>31</v>
      </c>
      <c r="B7" s="43"/>
      <c r="C7" s="43"/>
      <c r="D7" s="43"/>
      <c r="E7" s="43"/>
      <c r="F7" s="43"/>
      <c r="G7" s="44"/>
    </row>
    <row r="8" spans="1:7" x14ac:dyDescent="0.3">
      <c r="A8" s="32" t="s">
        <v>32</v>
      </c>
      <c r="B8" s="33"/>
      <c r="C8" s="3" t="s">
        <v>12</v>
      </c>
      <c r="D8" s="3" t="s">
        <v>34</v>
      </c>
      <c r="E8" s="3" t="s">
        <v>35</v>
      </c>
      <c r="F8" s="3" t="s">
        <v>36</v>
      </c>
      <c r="G8" s="17" t="s">
        <v>37</v>
      </c>
    </row>
    <row r="9" spans="1:7" x14ac:dyDescent="0.3">
      <c r="A9" s="30" t="s">
        <v>33</v>
      </c>
      <c r="B9" s="31"/>
      <c r="C9" s="1">
        <v>1</v>
      </c>
      <c r="D9" s="1" t="s">
        <v>61</v>
      </c>
      <c r="E9" s="1"/>
      <c r="F9" s="5">
        <f>E5</f>
        <v>0.05</v>
      </c>
      <c r="G9" s="18">
        <f>G24*5%</f>
        <v>1.6337500000000001E-2</v>
      </c>
    </row>
    <row r="10" spans="1:7" x14ac:dyDescent="0.3">
      <c r="A10" s="30" t="s">
        <v>98</v>
      </c>
      <c r="B10" s="31"/>
      <c r="C10" s="1">
        <v>1</v>
      </c>
      <c r="D10" s="1">
        <v>0.5</v>
      </c>
      <c r="E10" s="5">
        <f>D10*C10</f>
        <v>0.5</v>
      </c>
      <c r="F10" s="5">
        <f>E5</f>
        <v>0.05</v>
      </c>
      <c r="G10" s="18">
        <f>F10*E10</f>
        <v>2.5000000000000001E-2</v>
      </c>
    </row>
    <row r="11" spans="1:7" x14ac:dyDescent="0.3">
      <c r="A11" s="30"/>
      <c r="B11" s="31"/>
      <c r="C11" s="1"/>
      <c r="D11" s="1"/>
      <c r="E11" s="1"/>
      <c r="F11" s="5">
        <f>E5</f>
        <v>0.05</v>
      </c>
      <c r="G11" s="19"/>
    </row>
    <row r="12" spans="1:7" x14ac:dyDescent="0.3">
      <c r="A12" s="30"/>
      <c r="B12" s="31"/>
      <c r="C12" s="1"/>
      <c r="D12" s="1"/>
      <c r="E12" s="1"/>
      <c r="F12" s="1"/>
      <c r="G12" s="19"/>
    </row>
    <row r="13" spans="1:7" x14ac:dyDescent="0.3">
      <c r="A13" s="30"/>
      <c r="B13" s="31"/>
      <c r="C13" s="1"/>
      <c r="D13" s="1"/>
      <c r="E13" s="1"/>
      <c r="F13" s="1"/>
      <c r="G13" s="19"/>
    </row>
    <row r="14" spans="1:7" x14ac:dyDescent="0.3">
      <c r="A14" s="30"/>
      <c r="B14" s="31"/>
      <c r="C14" s="1"/>
      <c r="D14" s="1"/>
      <c r="E14" s="1"/>
      <c r="F14" s="1"/>
      <c r="G14" s="19"/>
    </row>
    <row r="15" spans="1:7" x14ac:dyDescent="0.3">
      <c r="A15" s="30"/>
      <c r="B15" s="31"/>
      <c r="C15" s="1"/>
      <c r="D15" s="1"/>
      <c r="E15" s="1"/>
      <c r="F15" s="1"/>
      <c r="G15" s="19"/>
    </row>
    <row r="16" spans="1:7" x14ac:dyDescent="0.3">
      <c r="A16" s="30"/>
      <c r="B16" s="31"/>
      <c r="C16" s="1"/>
      <c r="D16" s="1"/>
      <c r="E16" s="1"/>
      <c r="F16" s="1"/>
      <c r="G16" s="19"/>
    </row>
    <row r="17" spans="1:7" x14ac:dyDescent="0.3">
      <c r="A17" s="15"/>
      <c r="F17" s="11" t="s">
        <v>45</v>
      </c>
      <c r="G17" s="18">
        <f>ROUND(SUM(G9:G16),5)</f>
        <v>4.1340000000000002E-2</v>
      </c>
    </row>
    <row r="18" spans="1:7" x14ac:dyDescent="0.3">
      <c r="A18" s="20" t="s">
        <v>42</v>
      </c>
      <c r="G18" s="16"/>
    </row>
    <row r="19" spans="1:7" x14ac:dyDescent="0.3">
      <c r="A19" s="32" t="s">
        <v>32</v>
      </c>
      <c r="B19" s="33"/>
      <c r="C19" s="3" t="s">
        <v>12</v>
      </c>
      <c r="D19" s="3" t="s">
        <v>62</v>
      </c>
      <c r="E19" s="3" t="s">
        <v>35</v>
      </c>
      <c r="F19" s="3" t="s">
        <v>36</v>
      </c>
      <c r="G19" s="17" t="s">
        <v>37</v>
      </c>
    </row>
    <row r="20" spans="1:7" x14ac:dyDescent="0.3">
      <c r="A20" s="30" t="s">
        <v>63</v>
      </c>
      <c r="B20" s="31"/>
      <c r="C20" s="1">
        <v>1</v>
      </c>
      <c r="D20" s="1">
        <v>4.34</v>
      </c>
      <c r="E20" s="5">
        <f>D20*C20</f>
        <v>4.34</v>
      </c>
      <c r="F20" s="5">
        <f>E5</f>
        <v>0.05</v>
      </c>
      <c r="G20" s="18">
        <f>F20*E20</f>
        <v>0.217</v>
      </c>
    </row>
    <row r="21" spans="1:7" x14ac:dyDescent="0.3">
      <c r="A21" s="30" t="s">
        <v>89</v>
      </c>
      <c r="B21" s="31"/>
      <c r="C21" s="1">
        <v>0.5</v>
      </c>
      <c r="D21" s="1">
        <v>4.3899999999999997</v>
      </c>
      <c r="E21" s="5">
        <f t="shared" ref="E21:E22" si="0">D21*C21</f>
        <v>2.1949999999999998</v>
      </c>
      <c r="F21" s="5">
        <f>E5</f>
        <v>0.05</v>
      </c>
      <c r="G21" s="18">
        <f t="shared" ref="G21:G22" si="1">F21*E21</f>
        <v>0.10975</v>
      </c>
    </row>
    <row r="22" spans="1:7" x14ac:dyDescent="0.3">
      <c r="A22" s="30"/>
      <c r="B22" s="31"/>
      <c r="C22" s="1"/>
      <c r="D22" s="1"/>
      <c r="E22" s="5">
        <f t="shared" si="0"/>
        <v>0</v>
      </c>
      <c r="F22" s="5">
        <f t="shared" ref="F22" si="2">E7</f>
        <v>0</v>
      </c>
      <c r="G22" s="18">
        <f t="shared" si="1"/>
        <v>0</v>
      </c>
    </row>
    <row r="23" spans="1:7" x14ac:dyDescent="0.3">
      <c r="A23" s="30"/>
      <c r="B23" s="31"/>
      <c r="C23" s="1"/>
      <c r="D23" s="1"/>
      <c r="E23" s="1"/>
      <c r="F23" s="1"/>
      <c r="G23" s="19"/>
    </row>
    <row r="24" spans="1:7" x14ac:dyDescent="0.3">
      <c r="A24" s="34"/>
      <c r="B24" s="35"/>
      <c r="F24" s="11" t="s">
        <v>46</v>
      </c>
      <c r="G24" s="18">
        <f>ROUND(SUM(G20:G22),5)</f>
        <v>0.32674999999999998</v>
      </c>
    </row>
    <row r="25" spans="1:7" x14ac:dyDescent="0.3">
      <c r="A25" s="20" t="s">
        <v>43</v>
      </c>
      <c r="G25" s="16"/>
    </row>
    <row r="26" spans="1:7" x14ac:dyDescent="0.3">
      <c r="A26" s="28" t="s">
        <v>32</v>
      </c>
      <c r="B26" s="29"/>
      <c r="C26" s="13"/>
      <c r="D26" s="13" t="s">
        <v>48</v>
      </c>
      <c r="E26" s="13" t="s">
        <v>12</v>
      </c>
      <c r="F26" s="13" t="s">
        <v>13</v>
      </c>
      <c r="G26" s="21" t="s">
        <v>37</v>
      </c>
    </row>
    <row r="27" spans="1:7" x14ac:dyDescent="0.3">
      <c r="A27" s="30" t="s">
        <v>99</v>
      </c>
      <c r="B27" s="31"/>
      <c r="C27" s="1"/>
      <c r="D27" s="1" t="s">
        <v>15</v>
      </c>
      <c r="E27" s="1">
        <v>1.05</v>
      </c>
      <c r="F27" s="1">
        <v>3.5</v>
      </c>
      <c r="G27" s="18">
        <f>F27*E27</f>
        <v>3.6750000000000003</v>
      </c>
    </row>
    <row r="28" spans="1:7" x14ac:dyDescent="0.3">
      <c r="A28" s="30"/>
      <c r="B28" s="31"/>
      <c r="C28" s="1"/>
      <c r="D28" s="1"/>
      <c r="E28" s="1"/>
      <c r="F28" s="1"/>
      <c r="G28" s="18">
        <f t="shared" ref="G28:G29" si="3">F28*E28</f>
        <v>0</v>
      </c>
    </row>
    <row r="29" spans="1:7" x14ac:dyDescent="0.3">
      <c r="A29" s="30"/>
      <c r="B29" s="31"/>
      <c r="C29" s="1"/>
      <c r="D29" s="1"/>
      <c r="E29" s="1"/>
      <c r="F29" s="1"/>
      <c r="G29" s="18">
        <f t="shared" si="3"/>
        <v>0</v>
      </c>
    </row>
    <row r="30" spans="1:7" x14ac:dyDescent="0.3">
      <c r="A30" s="30"/>
      <c r="B30" s="31"/>
      <c r="C30" s="1"/>
      <c r="D30" s="1"/>
      <c r="E30" s="1"/>
      <c r="F30" s="1"/>
      <c r="G30" s="19"/>
    </row>
    <row r="31" spans="1:7" x14ac:dyDescent="0.3">
      <c r="A31" s="30"/>
      <c r="B31" s="31"/>
      <c r="C31" s="1"/>
      <c r="D31" s="1"/>
      <c r="E31" s="1"/>
      <c r="F31" s="1"/>
      <c r="G31" s="19"/>
    </row>
    <row r="32" spans="1:7" x14ac:dyDescent="0.3">
      <c r="A32" s="30"/>
      <c r="B32" s="31"/>
      <c r="C32" s="1"/>
      <c r="D32" s="1"/>
      <c r="E32" s="1"/>
      <c r="F32" s="1"/>
      <c r="G32" s="19"/>
    </row>
    <row r="33" spans="1:7" x14ac:dyDescent="0.3">
      <c r="A33" s="15"/>
      <c r="F33" s="12" t="s">
        <v>51</v>
      </c>
      <c r="G33" s="22">
        <f>ROUND(SUM(G27:G32),5)</f>
        <v>3.6749999999999998</v>
      </c>
    </row>
    <row r="34" spans="1:7" x14ac:dyDescent="0.3">
      <c r="A34" s="20" t="s">
        <v>47</v>
      </c>
      <c r="G34" s="16"/>
    </row>
    <row r="35" spans="1:7" x14ac:dyDescent="0.3">
      <c r="A35" s="28" t="s">
        <v>32</v>
      </c>
      <c r="B35" s="29"/>
      <c r="C35" s="13"/>
      <c r="D35" s="13" t="s">
        <v>48</v>
      </c>
      <c r="E35" s="13" t="s">
        <v>12</v>
      </c>
      <c r="F35" s="13" t="s">
        <v>49</v>
      </c>
      <c r="G35" s="21" t="s">
        <v>37</v>
      </c>
    </row>
    <row r="36" spans="1:7" x14ac:dyDescent="0.3">
      <c r="A36" s="30"/>
      <c r="B36" s="31"/>
      <c r="C36" s="1"/>
      <c r="D36" s="1"/>
      <c r="E36" s="1"/>
      <c r="F36" s="1"/>
      <c r="G36" s="19"/>
    </row>
    <row r="37" spans="1:7" x14ac:dyDescent="0.3">
      <c r="A37" s="30"/>
      <c r="B37" s="31"/>
      <c r="C37" s="1"/>
      <c r="D37" s="1"/>
      <c r="E37" s="1"/>
      <c r="F37" s="1"/>
      <c r="G37" s="19"/>
    </row>
    <row r="38" spans="1:7" x14ac:dyDescent="0.3">
      <c r="A38" s="15"/>
      <c r="F38" s="12" t="s">
        <v>52</v>
      </c>
      <c r="G38" s="23"/>
    </row>
    <row r="39" spans="1:7" x14ac:dyDescent="0.3">
      <c r="A39" s="15" t="s">
        <v>53</v>
      </c>
      <c r="G39" s="16"/>
    </row>
    <row r="40" spans="1:7" x14ac:dyDescent="0.3">
      <c r="A40" s="15"/>
      <c r="D40" t="s">
        <v>54</v>
      </c>
      <c r="G40" s="24">
        <f>ROUND((G17+G24+G33+G38),2)</f>
        <v>4.04</v>
      </c>
    </row>
    <row r="41" spans="1:7" x14ac:dyDescent="0.3">
      <c r="A41" s="15"/>
      <c r="D41" t="s">
        <v>55</v>
      </c>
      <c r="F41" s="14">
        <v>0.25</v>
      </c>
      <c r="G41" s="24">
        <f>ROUND((G40*F41),2)</f>
        <v>1.01</v>
      </c>
    </row>
    <row r="42" spans="1:7" x14ac:dyDescent="0.3">
      <c r="A42" s="15"/>
      <c r="D42" t="s">
        <v>56</v>
      </c>
      <c r="G42" s="16"/>
    </row>
    <row r="43" spans="1:7" x14ac:dyDescent="0.3">
      <c r="A43" s="15"/>
      <c r="G43" s="16"/>
    </row>
    <row r="44" spans="1:7" x14ac:dyDescent="0.3">
      <c r="A44" s="15"/>
      <c r="G44" s="16"/>
    </row>
    <row r="45" spans="1:7" x14ac:dyDescent="0.3">
      <c r="A45" s="15" t="s">
        <v>59</v>
      </c>
      <c r="D45" t="s">
        <v>57</v>
      </c>
      <c r="G45" s="24">
        <f>ROUND((G41+G40),2)</f>
        <v>5.05</v>
      </c>
    </row>
    <row r="46" spans="1:7" ht="15" thickBot="1" x14ac:dyDescent="0.35">
      <c r="A46" s="25" t="s">
        <v>60</v>
      </c>
      <c r="B46" s="26"/>
      <c r="C46" s="26"/>
      <c r="D46" s="26" t="s">
        <v>58</v>
      </c>
      <c r="E46" s="26"/>
      <c r="F46" s="26"/>
      <c r="G46" s="27">
        <f>G45</f>
        <v>5.05</v>
      </c>
    </row>
  </sheetData>
  <mergeCells count="27">
    <mergeCell ref="A11:B11"/>
    <mergeCell ref="A1:G2"/>
    <mergeCell ref="A7:G7"/>
    <mergeCell ref="A8:B8"/>
    <mergeCell ref="A9:B9"/>
    <mergeCell ref="A10:B10"/>
    <mergeCell ref="A26:B26"/>
    <mergeCell ref="A12:B12"/>
    <mergeCell ref="A13:B13"/>
    <mergeCell ref="A14:B14"/>
    <mergeCell ref="A15:B15"/>
    <mergeCell ref="A16:B16"/>
    <mergeCell ref="A19:B19"/>
    <mergeCell ref="A20:B20"/>
    <mergeCell ref="A21:B21"/>
    <mergeCell ref="A22:B22"/>
    <mergeCell ref="A23:B23"/>
    <mergeCell ref="A24:B24"/>
    <mergeCell ref="A35:B35"/>
    <mergeCell ref="A36:B36"/>
    <mergeCell ref="A37:B37"/>
    <mergeCell ref="A27:B27"/>
    <mergeCell ref="A28:B28"/>
    <mergeCell ref="A29:B29"/>
    <mergeCell ref="A30:B30"/>
    <mergeCell ref="A31:B31"/>
    <mergeCell ref="A32:B3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575E8-C408-9F4D-85C4-6542E24E9961}">
  <dimension ref="A1:G46"/>
  <sheetViews>
    <sheetView topLeftCell="A7" workbookViewId="0">
      <selection activeCell="E31" sqref="E31"/>
    </sheetView>
  </sheetViews>
  <sheetFormatPr baseColWidth="10" defaultColWidth="10.77734375" defaultRowHeight="14.4" x14ac:dyDescent="0.3"/>
  <cols>
    <col min="1" max="1" width="24.21875" customWidth="1"/>
    <col min="4" max="4" width="20" customWidth="1"/>
    <col min="5" max="5" width="18.77734375" customWidth="1"/>
    <col min="6" max="6" width="16.109375" customWidth="1"/>
    <col min="7" max="7" width="17.44140625" customWidth="1"/>
  </cols>
  <sheetData>
    <row r="1" spans="1:7" x14ac:dyDescent="0.3">
      <c r="A1" s="36" t="s">
        <v>44</v>
      </c>
      <c r="B1" s="37"/>
      <c r="C1" s="37"/>
      <c r="D1" s="37"/>
      <c r="E1" s="37"/>
      <c r="F1" s="37"/>
      <c r="G1" s="38"/>
    </row>
    <row r="2" spans="1:7" x14ac:dyDescent="0.3">
      <c r="A2" s="39"/>
      <c r="B2" s="40"/>
      <c r="C2" s="40"/>
      <c r="D2" s="40"/>
      <c r="E2" s="40"/>
      <c r="F2" s="40"/>
      <c r="G2" s="41"/>
    </row>
    <row r="3" spans="1:7" x14ac:dyDescent="0.3">
      <c r="A3" s="15" t="s">
        <v>30</v>
      </c>
      <c r="G3" s="16" t="s">
        <v>41</v>
      </c>
    </row>
    <row r="4" spans="1:7" x14ac:dyDescent="0.3">
      <c r="A4" s="15"/>
      <c r="G4" s="16" t="s">
        <v>40</v>
      </c>
    </row>
    <row r="5" spans="1:7" x14ac:dyDescent="0.3">
      <c r="A5" s="15" t="s">
        <v>50</v>
      </c>
      <c r="D5" t="s">
        <v>38</v>
      </c>
      <c r="E5">
        <v>0.2</v>
      </c>
      <c r="F5" t="s">
        <v>39</v>
      </c>
      <c r="G5" s="16"/>
    </row>
    <row r="6" spans="1:7" x14ac:dyDescent="0.3">
      <c r="A6" s="15"/>
      <c r="G6" s="16"/>
    </row>
    <row r="7" spans="1:7" x14ac:dyDescent="0.3">
      <c r="A7" s="42" t="s">
        <v>31</v>
      </c>
      <c r="B7" s="43"/>
      <c r="C7" s="43"/>
      <c r="D7" s="43"/>
      <c r="E7" s="43"/>
      <c r="F7" s="43"/>
      <c r="G7" s="44"/>
    </row>
    <row r="8" spans="1:7" x14ac:dyDescent="0.3">
      <c r="A8" s="32" t="s">
        <v>32</v>
      </c>
      <c r="B8" s="33"/>
      <c r="C8" s="3" t="s">
        <v>12</v>
      </c>
      <c r="D8" s="3" t="s">
        <v>34</v>
      </c>
      <c r="E8" s="3" t="s">
        <v>35</v>
      </c>
      <c r="F8" s="3" t="s">
        <v>36</v>
      </c>
      <c r="G8" s="17" t="s">
        <v>37</v>
      </c>
    </row>
    <row r="9" spans="1:7" x14ac:dyDescent="0.3">
      <c r="A9" s="30" t="s">
        <v>33</v>
      </c>
      <c r="B9" s="31"/>
      <c r="C9" s="1">
        <v>1</v>
      </c>
      <c r="D9" s="1" t="s">
        <v>61</v>
      </c>
      <c r="E9" s="1"/>
      <c r="F9" s="5">
        <f>E5</f>
        <v>0.2</v>
      </c>
      <c r="G9" s="18">
        <f>G24*5%</f>
        <v>0.40084000000000003</v>
      </c>
    </row>
    <row r="10" spans="1:7" x14ac:dyDescent="0.3">
      <c r="A10" s="30" t="s">
        <v>91</v>
      </c>
      <c r="B10" s="31"/>
      <c r="C10" s="1">
        <v>1</v>
      </c>
      <c r="D10" s="1">
        <v>5</v>
      </c>
      <c r="E10" s="5">
        <f>D10*C10</f>
        <v>5</v>
      </c>
      <c r="F10" s="5">
        <f>E5</f>
        <v>0.2</v>
      </c>
      <c r="G10" s="18">
        <f>F10*E10</f>
        <v>1</v>
      </c>
    </row>
    <row r="11" spans="1:7" x14ac:dyDescent="0.3">
      <c r="A11" s="30"/>
      <c r="B11" s="31"/>
      <c r="C11" s="1"/>
      <c r="D11" s="1"/>
      <c r="E11" s="1"/>
      <c r="F11" s="5">
        <f>E5</f>
        <v>0.2</v>
      </c>
      <c r="G11" s="19"/>
    </row>
    <row r="12" spans="1:7" x14ac:dyDescent="0.3">
      <c r="A12" s="30"/>
      <c r="B12" s="31"/>
      <c r="C12" s="1"/>
      <c r="D12" s="1"/>
      <c r="E12" s="1"/>
      <c r="F12" s="1"/>
      <c r="G12" s="19"/>
    </row>
    <row r="13" spans="1:7" x14ac:dyDescent="0.3">
      <c r="A13" s="30"/>
      <c r="B13" s="31"/>
      <c r="C13" s="1"/>
      <c r="D13" s="1"/>
      <c r="E13" s="1"/>
      <c r="F13" s="1"/>
      <c r="G13" s="19"/>
    </row>
    <row r="14" spans="1:7" x14ac:dyDescent="0.3">
      <c r="A14" s="30"/>
      <c r="B14" s="31"/>
      <c r="C14" s="1"/>
      <c r="D14" s="1"/>
      <c r="E14" s="1"/>
      <c r="F14" s="1"/>
      <c r="G14" s="19"/>
    </row>
    <row r="15" spans="1:7" x14ac:dyDescent="0.3">
      <c r="A15" s="30"/>
      <c r="B15" s="31"/>
      <c r="C15" s="1"/>
      <c r="D15" s="1"/>
      <c r="E15" s="1"/>
      <c r="F15" s="1"/>
      <c r="G15" s="19"/>
    </row>
    <row r="16" spans="1:7" x14ac:dyDescent="0.3">
      <c r="A16" s="30"/>
      <c r="B16" s="31"/>
      <c r="C16" s="1"/>
      <c r="D16" s="1"/>
      <c r="E16" s="1"/>
      <c r="F16" s="1"/>
      <c r="G16" s="19"/>
    </row>
    <row r="17" spans="1:7" x14ac:dyDescent="0.3">
      <c r="A17" s="15"/>
      <c r="F17" s="11" t="s">
        <v>45</v>
      </c>
      <c r="G17" s="18">
        <f>ROUND(SUM(G9:G16),5)</f>
        <v>1.4008400000000001</v>
      </c>
    </row>
    <row r="18" spans="1:7" x14ac:dyDescent="0.3">
      <c r="A18" s="20" t="s">
        <v>42</v>
      </c>
      <c r="G18" s="16"/>
    </row>
    <row r="19" spans="1:7" x14ac:dyDescent="0.3">
      <c r="A19" s="32" t="s">
        <v>32</v>
      </c>
      <c r="B19" s="33"/>
      <c r="C19" s="3" t="s">
        <v>12</v>
      </c>
      <c r="D19" s="3" t="s">
        <v>62</v>
      </c>
      <c r="E19" s="3" t="s">
        <v>35</v>
      </c>
      <c r="F19" s="3" t="s">
        <v>36</v>
      </c>
      <c r="G19" s="17" t="s">
        <v>37</v>
      </c>
    </row>
    <row r="20" spans="1:7" x14ac:dyDescent="0.3">
      <c r="A20" s="30"/>
      <c r="B20" s="31"/>
      <c r="C20" s="1">
        <v>8</v>
      </c>
      <c r="D20" s="1">
        <v>4.34</v>
      </c>
      <c r="E20" s="5">
        <f>D20*C20</f>
        <v>34.72</v>
      </c>
      <c r="F20" s="5">
        <f>E5</f>
        <v>0.2</v>
      </c>
      <c r="G20" s="18">
        <f>F20*E20</f>
        <v>6.944</v>
      </c>
    </row>
    <row r="21" spans="1:7" x14ac:dyDescent="0.3">
      <c r="A21" s="30"/>
      <c r="B21" s="31"/>
      <c r="C21" s="1">
        <v>0.2</v>
      </c>
      <c r="D21" s="1">
        <v>4.87</v>
      </c>
      <c r="E21" s="5">
        <f t="shared" ref="E21:E22" si="0">D21*C21</f>
        <v>0.97400000000000009</v>
      </c>
      <c r="F21" s="5">
        <f>E5</f>
        <v>0.2</v>
      </c>
      <c r="G21" s="18">
        <f t="shared" ref="G21:G22" si="1">F21*E21</f>
        <v>0.19480000000000003</v>
      </c>
    </row>
    <row r="22" spans="1:7" x14ac:dyDescent="0.3">
      <c r="A22" s="30" t="s">
        <v>89</v>
      </c>
      <c r="B22" s="31"/>
      <c r="C22" s="1">
        <v>1</v>
      </c>
      <c r="D22" s="1">
        <v>4.3899999999999997</v>
      </c>
      <c r="E22" s="5">
        <f t="shared" si="0"/>
        <v>4.3899999999999997</v>
      </c>
      <c r="F22" s="5">
        <f>E5</f>
        <v>0.2</v>
      </c>
      <c r="G22" s="18">
        <f t="shared" si="1"/>
        <v>0.878</v>
      </c>
    </row>
    <row r="23" spans="1:7" x14ac:dyDescent="0.3">
      <c r="A23" s="30"/>
      <c r="B23" s="31"/>
      <c r="C23" s="1"/>
      <c r="D23" s="1"/>
      <c r="E23" s="1"/>
      <c r="F23" s="1"/>
      <c r="G23" s="19"/>
    </row>
    <row r="24" spans="1:7" x14ac:dyDescent="0.3">
      <c r="A24" s="34"/>
      <c r="B24" s="35"/>
      <c r="F24" s="11" t="s">
        <v>46</v>
      </c>
      <c r="G24" s="18">
        <f>ROUND(SUM(G20:G22),5)</f>
        <v>8.0167999999999999</v>
      </c>
    </row>
    <row r="25" spans="1:7" x14ac:dyDescent="0.3">
      <c r="A25" s="20" t="s">
        <v>43</v>
      </c>
      <c r="G25" s="16"/>
    </row>
    <row r="26" spans="1:7" x14ac:dyDescent="0.3">
      <c r="A26" s="28" t="s">
        <v>32</v>
      </c>
      <c r="B26" s="29"/>
      <c r="C26" s="13"/>
      <c r="D26" s="13" t="s">
        <v>48</v>
      </c>
      <c r="E26" s="13" t="s">
        <v>12</v>
      </c>
      <c r="F26" s="13" t="s">
        <v>13</v>
      </c>
      <c r="G26" s="21" t="s">
        <v>37</v>
      </c>
    </row>
    <row r="27" spans="1:7" x14ac:dyDescent="0.3">
      <c r="A27" s="30" t="s">
        <v>100</v>
      </c>
      <c r="B27" s="31"/>
      <c r="C27" s="1"/>
      <c r="D27" s="1"/>
      <c r="E27" s="1">
        <v>35</v>
      </c>
      <c r="F27" s="1">
        <v>0.2</v>
      </c>
      <c r="G27" s="18">
        <f>F27*E27</f>
        <v>7</v>
      </c>
    </row>
    <row r="28" spans="1:7" x14ac:dyDescent="0.3">
      <c r="A28" s="30" t="s">
        <v>96</v>
      </c>
      <c r="B28" s="31"/>
      <c r="C28" s="1"/>
      <c r="D28" s="1"/>
      <c r="E28" s="1">
        <v>0.09</v>
      </c>
      <c r="F28" s="1">
        <v>15</v>
      </c>
      <c r="G28" s="18">
        <f t="shared" ref="G28:G29" si="2">F28*E28</f>
        <v>1.3499999999999999</v>
      </c>
    </row>
    <row r="29" spans="1:7" x14ac:dyDescent="0.3">
      <c r="A29" s="30" t="s">
        <v>97</v>
      </c>
      <c r="B29" s="31"/>
      <c r="C29" s="1"/>
      <c r="D29" s="1"/>
      <c r="E29" s="1">
        <v>0.06</v>
      </c>
      <c r="F29" s="1">
        <v>10</v>
      </c>
      <c r="G29" s="18">
        <f t="shared" si="2"/>
        <v>0.6</v>
      </c>
    </row>
    <row r="30" spans="1:7" x14ac:dyDescent="0.3">
      <c r="A30" s="30" t="s">
        <v>81</v>
      </c>
      <c r="B30" s="31"/>
      <c r="C30" s="1"/>
      <c r="D30" s="1"/>
      <c r="E30" s="1">
        <v>20</v>
      </c>
      <c r="F30" s="1">
        <v>0.01</v>
      </c>
      <c r="G30" s="19">
        <f>E30*F30</f>
        <v>0.2</v>
      </c>
    </row>
    <row r="31" spans="1:7" x14ac:dyDescent="0.3">
      <c r="A31" s="30" t="s">
        <v>101</v>
      </c>
      <c r="B31" s="31"/>
      <c r="C31" s="1"/>
      <c r="D31" s="1"/>
      <c r="E31" s="1">
        <v>0.47</v>
      </c>
      <c r="F31" s="1">
        <v>1.5</v>
      </c>
      <c r="G31" s="19">
        <f>E31*F31</f>
        <v>0.70499999999999996</v>
      </c>
    </row>
    <row r="32" spans="1:7" x14ac:dyDescent="0.3">
      <c r="A32" s="30" t="s">
        <v>102</v>
      </c>
      <c r="B32" s="31"/>
      <c r="C32" s="1"/>
      <c r="D32" s="1"/>
      <c r="E32" s="1">
        <v>0.3</v>
      </c>
      <c r="F32" s="1">
        <v>1.5</v>
      </c>
      <c r="G32" s="19">
        <f>E32*F32</f>
        <v>0.44999999999999996</v>
      </c>
    </row>
    <row r="33" spans="1:7" x14ac:dyDescent="0.3">
      <c r="A33" s="15"/>
      <c r="F33" s="12" t="s">
        <v>51</v>
      </c>
      <c r="G33" s="22">
        <f>ROUND(SUM(G27:G32),5)</f>
        <v>10.305</v>
      </c>
    </row>
    <row r="34" spans="1:7" x14ac:dyDescent="0.3">
      <c r="A34" s="20" t="s">
        <v>47</v>
      </c>
      <c r="G34" s="16"/>
    </row>
    <row r="35" spans="1:7" x14ac:dyDescent="0.3">
      <c r="A35" s="28" t="s">
        <v>32</v>
      </c>
      <c r="B35" s="29"/>
      <c r="C35" s="13"/>
      <c r="D35" s="13" t="s">
        <v>48</v>
      </c>
      <c r="E35" s="13" t="s">
        <v>12</v>
      </c>
      <c r="F35" s="13" t="s">
        <v>49</v>
      </c>
      <c r="G35" s="21" t="s">
        <v>37</v>
      </c>
    </row>
    <row r="36" spans="1:7" x14ac:dyDescent="0.3">
      <c r="A36" s="30"/>
      <c r="B36" s="31"/>
      <c r="C36" s="1"/>
      <c r="D36" s="1"/>
      <c r="E36" s="1"/>
      <c r="F36" s="1"/>
      <c r="G36" s="19"/>
    </row>
    <row r="37" spans="1:7" x14ac:dyDescent="0.3">
      <c r="A37" s="30"/>
      <c r="B37" s="31"/>
      <c r="C37" s="1"/>
      <c r="D37" s="1"/>
      <c r="E37" s="1"/>
      <c r="F37" s="1"/>
      <c r="G37" s="19"/>
    </row>
    <row r="38" spans="1:7" x14ac:dyDescent="0.3">
      <c r="A38" s="15"/>
      <c r="F38" s="12" t="s">
        <v>52</v>
      </c>
      <c r="G38" s="23"/>
    </row>
    <row r="39" spans="1:7" x14ac:dyDescent="0.3">
      <c r="A39" s="15" t="s">
        <v>53</v>
      </c>
      <c r="G39" s="16"/>
    </row>
    <row r="40" spans="1:7" x14ac:dyDescent="0.3">
      <c r="A40" s="15"/>
      <c r="D40" t="s">
        <v>54</v>
      </c>
      <c r="G40" s="24">
        <f>ROUND((G17+G24+G33+G38),2)</f>
        <v>19.72</v>
      </c>
    </row>
    <row r="41" spans="1:7" x14ac:dyDescent="0.3">
      <c r="A41" s="15"/>
      <c r="D41" t="s">
        <v>55</v>
      </c>
      <c r="F41" s="14">
        <v>0.25</v>
      </c>
      <c r="G41" s="24">
        <f>ROUND((G40*F41),2)</f>
        <v>4.93</v>
      </c>
    </row>
    <row r="42" spans="1:7" x14ac:dyDescent="0.3">
      <c r="A42" s="15"/>
      <c r="D42" t="s">
        <v>56</v>
      </c>
      <c r="G42" s="16"/>
    </row>
    <row r="43" spans="1:7" x14ac:dyDescent="0.3">
      <c r="A43" s="15"/>
      <c r="G43" s="16"/>
    </row>
    <row r="44" spans="1:7" x14ac:dyDescent="0.3">
      <c r="A44" s="15"/>
      <c r="G44" s="16"/>
    </row>
    <row r="45" spans="1:7" x14ac:dyDescent="0.3">
      <c r="A45" s="15" t="s">
        <v>59</v>
      </c>
      <c r="D45" t="s">
        <v>57</v>
      </c>
      <c r="G45" s="24">
        <f>ROUND((G41+G40),2)</f>
        <v>24.65</v>
      </c>
    </row>
    <row r="46" spans="1:7" ht="15" thickBot="1" x14ac:dyDescent="0.35">
      <c r="A46" s="25" t="s">
        <v>60</v>
      </c>
      <c r="B46" s="26"/>
      <c r="C46" s="26"/>
      <c r="D46" s="26" t="s">
        <v>58</v>
      </c>
      <c r="E46" s="26"/>
      <c r="F46" s="26"/>
      <c r="G46" s="27">
        <f>G45</f>
        <v>24.65</v>
      </c>
    </row>
  </sheetData>
  <mergeCells count="27">
    <mergeCell ref="A11:B11"/>
    <mergeCell ref="A1:G2"/>
    <mergeCell ref="A7:G7"/>
    <mergeCell ref="A8:B8"/>
    <mergeCell ref="A9:B9"/>
    <mergeCell ref="A10:B10"/>
    <mergeCell ref="A26:B26"/>
    <mergeCell ref="A12:B12"/>
    <mergeCell ref="A13:B13"/>
    <mergeCell ref="A14:B14"/>
    <mergeCell ref="A15:B15"/>
    <mergeCell ref="A16:B16"/>
    <mergeCell ref="A19:B19"/>
    <mergeCell ref="A20:B20"/>
    <mergeCell ref="A21:B21"/>
    <mergeCell ref="A22:B22"/>
    <mergeCell ref="A23:B23"/>
    <mergeCell ref="A24:B24"/>
    <mergeCell ref="A35:B35"/>
    <mergeCell ref="A36:B36"/>
    <mergeCell ref="A37:B37"/>
    <mergeCell ref="A27:B27"/>
    <mergeCell ref="A28:B28"/>
    <mergeCell ref="A29:B29"/>
    <mergeCell ref="A30:B30"/>
    <mergeCell ref="A31:B31"/>
    <mergeCell ref="A32:B3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38C90-2E4C-7A4F-8754-BFF9BB29000E}">
  <dimension ref="A1"/>
  <sheetViews>
    <sheetView zoomScaleNormal="60" zoomScaleSheetLayoutView="100" workbookViewId="0"/>
  </sheetViews>
  <sheetFormatPr baseColWidth="10" defaultColWidth="8.8867187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Hoja1</vt:lpstr>
      <vt:lpstr>1.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Jamileth Moreira Delgado</dc:creator>
  <cp:lastModifiedBy>karla Jamileth Moreira Delgado</cp:lastModifiedBy>
  <dcterms:created xsi:type="dcterms:W3CDTF">2026-10-06T14:24:27Z</dcterms:created>
  <dcterms:modified xsi:type="dcterms:W3CDTF">2026-10-27T01:20:47Z</dcterms:modified>
</cp:coreProperties>
</file>